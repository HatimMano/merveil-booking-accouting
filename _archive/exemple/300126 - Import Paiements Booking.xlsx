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Encaissements non-lettré" sheetId="1" r:id="rId5"/>
    <sheet state="visible" name="Exports CSV Booking" sheetId="2" r:id="rId6"/>
    <sheet state="visible" name="Journal " sheetId="3" r:id="rId7"/>
    <sheet state="visible" name="Matrice de vérification" sheetId="4" r:id="rId8"/>
  </sheets>
  <definedNames>
    <definedName hidden="1" localSheetId="0" name="_xlnm._FilterDatabase">'Export Encaissements non-lettré'!$A$1:$AB$69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<sst xmlns="http://schemas.openxmlformats.org/spreadsheetml/2006/main" count="1732" uniqueCount="556">
  <si>
    <t>ID APPARTEMENT</t>
  </si>
  <si>
    <t>Compte</t>
  </si>
  <si>
    <t>Intitulé</t>
  </si>
  <si>
    <t>Date</t>
  </si>
  <si>
    <t>Journal</t>
  </si>
  <si>
    <t>Libellé</t>
  </si>
  <si>
    <t>Rèf pièce</t>
  </si>
  <si>
    <t>Débit</t>
  </si>
  <si>
    <t>Let.</t>
  </si>
  <si>
    <t>Crédit</t>
  </si>
  <si>
    <t>Solde</t>
  </si>
  <si>
    <t>Statut</t>
  </si>
  <si>
    <t>Numéro Appartement</t>
  </si>
  <si>
    <t>BOOKING</t>
  </si>
  <si>
    <t>BQ3</t>
  </si>
  <si>
    <t>VIREMENT Booking.com B.V NO.TYolCRC4GE3o2Som/ID.6698916</t>
  </si>
  <si>
    <t>2 437,47 €</t>
  </si>
  <si>
    <t>-2 437,47 €</t>
  </si>
  <si>
    <t>Importe</t>
  </si>
  <si>
    <t>VIREMENT Booking.com B.V NO.AXXILySCCzKGxVW0/ID.6698991</t>
  </si>
  <si>
    <t>2 484,71 €</t>
  </si>
  <si>
    <t>-4 922,18 €</t>
  </si>
  <si>
    <t>BQ10</t>
  </si>
  <si>
    <t>VIREMENT SEPA RECU YCI7 05097Booking.com B.V./REMI/NO.WBe5bocr2i2064740370NO.WBe5bocr2ipc8Uyh/ID.12167482/ISD</t>
  </si>
  <si>
    <t>1 468,80 €</t>
  </si>
  <si>
    <t>-6 390,98 €</t>
  </si>
  <si>
    <t>VIREMENT SEPA RECU YCI7 02858Booking.com B.V./REMI/NO.qJop1fUwHm2114788585NO.qJop1fUwHmXCTEqz/ID.10725315/ISD</t>
  </si>
  <si>
    <t>-7 278,98 €</t>
  </si>
  <si>
    <t>VIREMENT SEPA RECU YCI0 02858Booking.com B.V./REMI/NO.GGbzVNRgL62024739099NO.GGbzVNRgL6TIxfCu/ID.13729996/ISD</t>
  </si>
  <si>
    <t>-7 886,97 €</t>
  </si>
  <si>
    <t>VIREMENT SEPA RECU YCI6 02856Booking.com B.V./REMI/NO.67i1Ti8Uo22094291718NO.67i1Ti8Uo2wkwXNf/ID.3788716/ISDT</t>
  </si>
  <si>
    <t>-8 379,02 €</t>
  </si>
  <si>
    <t>VIREMENT SEPA RECU YCI4 02856Booking.com B.V./REMI/NO.K82EYXVAfO2144759191NO.K82EYXVAfOZ0AJ1R/ID.11120021/ISD</t>
  </si>
  <si>
    <t>-9 118,56 €</t>
  </si>
  <si>
    <t>VIREMENT SEPA RECU YCI1 02856Booking.com B.V./REMI/NO.JtOQKcQ8lJ2114787517NO.JtOQKcQ8lJy7HFy8/ID.10047431/ISD</t>
  </si>
  <si>
    <t>1 310,40 €</t>
  </si>
  <si>
    <t>-10 428,96 €</t>
  </si>
  <si>
    <t>VIREMENT SEPA RECU YCI2 02855Booking.com B.V./REMI/NO.MWpO06p9Fy2024730657NO.MWpO06p9FyrWWWpk/ID.8891011/ISDT</t>
  </si>
  <si>
    <t>-10 825,69 €</t>
  </si>
  <si>
    <t>VIREMENT SEPA RECU YCI1 02855Booking.com B.V./REMI/NO.c86v63fsr62064732662NO.c86v63fsr6NJypNj/ID.5428307/ISDT</t>
  </si>
  <si>
    <t>-11 332,32 €</t>
  </si>
  <si>
    <t>VIREMENT SEPA RECU YCI2 02854Booking.com B.V./REMI/NO.ShzRpz7VAO2024730653NO.ShzRpz7VAO9rTGik/ID.8890731/ISDT</t>
  </si>
  <si>
    <t>-11 744,64 €</t>
  </si>
  <si>
    <t>VIREMENT SEPA RECU YCI9 02853Booking.com B.V./REMI/NO.txGJa81mFb2114787082NO.txGJa81mFbPrxSlC/ID.8932967/ISDT</t>
  </si>
  <si>
    <t>1 181,52 €</t>
  </si>
  <si>
    <t>-12 926,16 €</t>
  </si>
  <si>
    <t>VIREMENT SEPA RECU YCI9 02852Booking.com B.V./REMI/NO.MZdM80GpCc2114786803NO.MZdM80GpCcBFfgug/ID.8912175/ISDT</t>
  </si>
  <si>
    <t>1 056,40 €</t>
  </si>
  <si>
    <t>-13 982,56 €</t>
  </si>
  <si>
    <t>VIREMENT SEPA RECU YCI8 02851Booking.com B.V./REMI/NO.RI1DEGYjdM2034711658NO.RI1DEGYjdMbo5qXZ/ID.9315439/ISDT</t>
  </si>
  <si>
    <t>1 697,93 €</t>
  </si>
  <si>
    <t>-15 680,49 €</t>
  </si>
  <si>
    <t>VIREMENT SEPA RECU YCI4 02851Booking.com B.V./REMI/NO.1bfBPRAfjs2105044022NO.1bfBPRAfjsg6B4yx/ID.8630313/ISDT</t>
  </si>
  <si>
    <t>4 148,43 €</t>
  </si>
  <si>
    <t>-19 828,92 €</t>
  </si>
  <si>
    <t>VIREMENT SEPA RECU YCI1 02851Booking.com B.V./REMI/NO.oPyULTKjjd2024730662NO.oPyULTKjjdKhO5DK/ID.8891875/ISDT</t>
  </si>
  <si>
    <t>-20 484,45 €</t>
  </si>
  <si>
    <t>VIREMENT SEPA RECU YCI2 02849Booking.com B.V./REMI/NO.GMZLxWqUqr2134678626NO.GMZLxWqUqr3poLEO/ID.10834518/ISD</t>
  </si>
  <si>
    <t>2 841,30 €</t>
  </si>
  <si>
    <t>-23 325,75 €</t>
  </si>
  <si>
    <t>VIREMENT SEPA RECU YCI1 02846Booking.com B.V./REMI/NO.zBeLhR5mst2016475957NO.zBeLhR5mstl5T50m/ID.9698873/ISDT</t>
  </si>
  <si>
    <t>3 186,90 €</t>
  </si>
  <si>
    <t>-26 512,65 €</t>
  </si>
  <si>
    <t>VIREMENT SEPA RECU YCI8 02845Booking.com B.V./REMI/NO.dfGtG315j52124764720NO.dfGtG315j5gYgKw2/ID.9743490/ISDT</t>
  </si>
  <si>
    <t>4 101,30 €</t>
  </si>
  <si>
    <t>-30 613,95 €</t>
  </si>
  <si>
    <t>VIREMENT SEPA RECU YCI3 02845Booking.com B.V./REMI/NO.t5M2mi2iwh2004649991NO.t5M2mi2iwhW7QGha/ID.12621239/ISD</t>
  </si>
  <si>
    <t>3 516,31 €</t>
  </si>
  <si>
    <t>-34 130,26 €</t>
  </si>
  <si>
    <t>VIREMENT SEPA RECU YCI2 02845Booking.com B.V./REMI/NO.KjwnnkTAgg2094285830NO.KjwnnkTAgg9LPR1l/ID.6279727/ISDT</t>
  </si>
  <si>
    <t>3 365,18 €</t>
  </si>
  <si>
    <t>-37 495,44 €</t>
  </si>
  <si>
    <t>VIREMENT SEPA RECU YCI4 02844Booking.com B.V./REMI/NO.m93RvfCOlv2114779906NO.m93RvfCOlvtvxO2o/ID.10290113/ISD</t>
  </si>
  <si>
    <t>2 378,70 €</t>
  </si>
  <si>
    <t>-39 874,14 €</t>
  </si>
  <si>
    <t>VIREMENT SEPA RECU YCI2 02844Booking.com B.V./REMI/NO.TlY8TG3fRQ2194931004NO.TlY8TG3fRQmwkCim/ID.9281073/ISDT</t>
  </si>
  <si>
    <t>1 546,20 €</t>
  </si>
  <si>
    <t>-41 420,34 €</t>
  </si>
  <si>
    <t>VIREMENT SEPA RECU YCI9 02843Booking.com B.V./REMI/NO.4eIQiEkbf12194931015NO.4eIQiEkbf1vnAfBR/ID.9283805/ISDT</t>
  </si>
  <si>
    <t>2 043,02 €</t>
  </si>
  <si>
    <t>-43 463,36 €</t>
  </si>
  <si>
    <t>VIREMENT SEPA RECU YCI6 02824Booking.com B.V./REMI/NO.Q6hmUhysYT2094296039NO.Q6hmUhysYTZ5Fc8d/ID.8936250/ISDT</t>
  </si>
  <si>
    <t>-44 316,86 €</t>
  </si>
  <si>
    <t>VIREMENT SEPA RECU YCI1 02823Booking.com B.V./REMI/NO.IOpH3Rwl1v2124773657NO.IOpH3Rwl1viy1X0w/ID.9283763/ISDT</t>
  </si>
  <si>
    <t>1 053,86 €</t>
  </si>
  <si>
    <t>-45 370,72 €</t>
  </si>
  <si>
    <t>VIREMENT SEPA RECU YCI8 02821Booking.com B.V./REMI/NO.cqfhEzG6PY2144759193NO.cqfhEzG6PYYDSR8U/ID.11120381/ISD</t>
  </si>
  <si>
    <t>5 890,63 €</t>
  </si>
  <si>
    <t>-51 261,35 €</t>
  </si>
  <si>
    <t>VIREMENT SEPA RECU YCI3 02821Booking.com B.V./REMI/NO.Qv3mcQT5kW2194930563NO.Qv3mcQT5kWDLvbCK/ID.8888141/ISDT</t>
  </si>
  <si>
    <t>1 522,66 €</t>
  </si>
  <si>
    <t>-52 784,01 €</t>
  </si>
  <si>
    <t>VIREMENT SEPA RECU YCI2 02821Booking.com B.V./REMI/NO.BO957bh4j62024733392NO.BO957bh4j6bxnDvo/ID.9416623/ISDT</t>
  </si>
  <si>
    <t>1 671,90 €</t>
  </si>
  <si>
    <t>-54 455,91 €</t>
  </si>
  <si>
    <t>VIREMENT SEPA RECU YCI2 02819Booking.com B.V./REMI/NO.7cm1yKQ9P32054514639NO.7cm1yKQ9P3ZAaVvE/ID.12621277/ISD</t>
  </si>
  <si>
    <t>2 458,04 €</t>
  </si>
  <si>
    <t>-56 913,95 €</t>
  </si>
  <si>
    <t>VIREMENT SEPA RECU YCI1 02819Booking.com B.V./REMI/NO.Ev6CKAo5EJ2024730738NO.Ev6CKAo5EJw5QlaJ/ID.9821659/ISDT</t>
  </si>
  <si>
    <t>1 701,90 €</t>
  </si>
  <si>
    <t>-58 615,85 €</t>
  </si>
  <si>
    <t>VIREMENT SEPA RECU YCI6 02818Booking.com B.V./REMI/NO.pX4j0eGwru2034699757NO.pX4j0eGwrul29eK2/ID.3788797/ISDT</t>
  </si>
  <si>
    <t>1 597,32 €</t>
  </si>
  <si>
    <t>-60 213,17 €</t>
  </si>
  <si>
    <t>VIREMENT SEPA RECU YCI4 02818Booking.com B.V./REMI/NO.wAsFvEBTFs2044511800NO.wAsFvEBTFsRy9YY1/ID.8668004/ISDT</t>
  </si>
  <si>
    <t>1 842,18 €</t>
  </si>
  <si>
    <t>-62 055,35 €</t>
  </si>
  <si>
    <t>VIREMENT SEPA RECU YCI2 02818Booking.com B.V./REMI/NO.o1zMYso6Xi2075077539NO.o1zMYso6XiZKMZoU/ID.10811114/ISD</t>
  </si>
  <si>
    <t>2 823,30 €</t>
  </si>
  <si>
    <t>-64 878,65 €</t>
  </si>
  <si>
    <t>VIREMENT SEPA RECU YCI0 02818Booking.com B.V./REMI/NO.Vdsx7D1dPe2004649441NO.Vdsx7D1dPe0k34I7/ID.11046773/ISD</t>
  </si>
  <si>
    <t>2 244,68 €</t>
  </si>
  <si>
    <t>-67 123,33 €</t>
  </si>
  <si>
    <t>VIREMENT SEPA RECU YCI9 02817Booking.com B.V./REMI/NO.S61RQCUa4h2064738185NO.S61RQCUa4h4RlBBs/ID.10209443/ISD</t>
  </si>
  <si>
    <t>-67 627,33 €</t>
  </si>
  <si>
    <t>VIREMENT SEPA RECU YCI8 02817Booking.com B.V./REMI/NO.OlDSJiWbKs2094291719NO.OlDSJiWbKsgLgPrJ/ID.3788752/ISDT</t>
  </si>
  <si>
    <t>2 154,73 €</t>
  </si>
  <si>
    <t>-69 782,06 €</t>
  </si>
  <si>
    <t>VIREMENT SEPA RECU YCI1 02817Booking.com B.V./REMI/NO.TpIVHt3bcA2105044351NO.TpIVHt3bcAxfjrqL/ID.10013077/ISD</t>
  </si>
  <si>
    <t>-70 645,16 €</t>
  </si>
  <si>
    <t>VIREMENT SEPA RECU YCI8 02816Booking.com B.V./REMI/NO.Lhy5iqDtw42016475956NO.Lhy5iqDtw4kN1Ci2/ID.9698836/ISDT</t>
  </si>
  <si>
    <t>-71 567,66 €</t>
  </si>
  <si>
    <t>VIREMENT SEPA RECU YCI6 02816Booking.com B.V./REMI/NO.dNBFPpLhl02094285724NO.dNBFPpLhl0Dvgere/ID.4605178/ISDT</t>
  </si>
  <si>
    <t>1 019,35 €</t>
  </si>
  <si>
    <t>-72 587,01 €</t>
  </si>
  <si>
    <t>VIREMENT SEPA RECU YCI4 02816Booking.com B.V./REMI/NO.Y0Vksl92o62094286545NO.Y0Vksl92o6AO9oys/ID.9592592/ISDT</t>
  </si>
  <si>
    <t>1 861,20 €</t>
  </si>
  <si>
    <t>-74 448,21 €</t>
  </si>
  <si>
    <t>VIREMENT SEPA RECU YCI5 02816Booking.com B.V./REMI/NO.nBdkMr5X6c2016477107NO.nBdkMr5X6cjKYpPL/ID.12486053/ISD</t>
  </si>
  <si>
    <t>1 419,64 €</t>
  </si>
  <si>
    <t>-75 867,85 €</t>
  </si>
  <si>
    <t>VIREMENT SEPA RECU YCI1 02816Booking.com B.V./REMI/NO.nz1dtv3kfs2016475757NO.nz1dtv3kfsJZ6JyX/ID.8932411/ISDT</t>
  </si>
  <si>
    <t>1 673,23 €</t>
  </si>
  <si>
    <t>-77 541,08 €</t>
  </si>
  <si>
    <t>VIREMENT SEPA RECU YCI9 02815Booking.com B.V./REMI/NO.8eidzU9Ies2184512773NO.8eidzU9Ies3JKeJb/ID.10668724/ISD</t>
  </si>
  <si>
    <t>1 336,50 €</t>
  </si>
  <si>
    <t>-78 877,58 €</t>
  </si>
  <si>
    <t>VIREMENT SEPA RECU YCI8 02815Booking.com B.V./REMI/NO.wSu4OBMUft2004648917NO.wSu4OBMUftG1gBQ4/ID.9626274/ISDT</t>
  </si>
  <si>
    <t>2 153,70 €</t>
  </si>
  <si>
    <t>-81 031,28 €</t>
  </si>
  <si>
    <t>VIREMENT SEPA RECU YCI5 02815Booking.com B.V./REMI/NO.1oNx0Q7FpS2144757861NO.1oNx0Q7FpSAh3xW0/ID.5042200/ISDT</t>
  </si>
  <si>
    <t>3 683,75 €</t>
  </si>
  <si>
    <t>-84 715,03 €</t>
  </si>
  <si>
    <t>VIREMENT SEPA RECU YCI3 02815Booking.com B.V./REMI/NO.NTqHweEk2R2184511695NO.NTqHweEk2R6Zxt2A/ID.8935631/ISDT</t>
  </si>
  <si>
    <t>4 399,72 €</t>
  </si>
  <si>
    <t>-89 114,75 €</t>
  </si>
  <si>
    <t>VIREMENT SEPA RECU YCI2 02815Booking.com B.V./REMI/NO.T6On5VimAc2016475769NO.T6On5VimAcQX6eZG/ID.8935415/ISDT</t>
  </si>
  <si>
    <t>-89 712,59 €</t>
  </si>
  <si>
    <t>BQ5</t>
  </si>
  <si>
    <t>VIREMENT DE Booking.com B.V. 2094291716 NO.tGWxGnSo0Xcp25T2/ID.3788679 REFERENCE : 0189030600000300</t>
  </si>
  <si>
    <t>-90 215,33 €</t>
  </si>
  <si>
    <t>Pas Encore</t>
  </si>
  <si>
    <t>Ref Appart</t>
  </si>
  <si>
    <t>Type</t>
  </si>
  <si>
    <t>Numéro de référence</t>
  </si>
  <si>
    <t>Date de départ ou d'émission</t>
  </si>
  <si>
    <t>Nom du client</t>
  </si>
  <si>
    <t>Statut de la réservation</t>
  </si>
  <si>
    <t>Devise</t>
  </si>
  <si>
    <t>Statut du paiement</t>
  </si>
  <si>
    <t>Montant</t>
  </si>
  <si>
    <t>Commission</t>
  </si>
  <si>
    <t>Coûts de transaction</t>
  </si>
  <si>
    <t>Net</t>
  </si>
  <si>
    <t>Date du paiement</t>
  </si>
  <si>
    <t>Identifiant du paiement</t>
  </si>
  <si>
    <t>6698916</t>
  </si>
  <si>
    <t>Reservation</t>
  </si>
  <si>
    <t>Jan 20, 2026</t>
  </si>
  <si>
    <t>Thais Dias Gonzalez</t>
  </si>
  <si>
    <t>ok</t>
  </si>
  <si>
    <t>EUR</t>
  </si>
  <si>
    <t>by_booking</t>
  </si>
  <si>
    <t>Jan 29, 2026</t>
  </si>
  <si>
    <t>TYolCRC4GE3o2Som</t>
  </si>
  <si>
    <t>6698991</t>
  </si>
  <si>
    <t>Jan 24, 2026</t>
  </si>
  <si>
    <t>esin bankoğlu yentur</t>
  </si>
  <si>
    <t>AXXILySCCzKGxVW0</t>
  </si>
  <si>
    <t>Jan 21, 2026</t>
  </si>
  <si>
    <t>zoe deboick</t>
  </si>
  <si>
    <t>Dec 28, 2025</t>
  </si>
  <si>
    <t>Abdulla Alhajri</t>
  </si>
  <si>
    <t>12167482</t>
  </si>
  <si>
    <t>Jan 22, 2026</t>
  </si>
  <si>
    <t>Nataly Shlayem</t>
  </si>
  <si>
    <t>WBe5bocr2ipc8Uyh</t>
  </si>
  <si>
    <t>10725315</t>
  </si>
  <si>
    <t>Jan 23, 2026</t>
  </si>
  <si>
    <t>Byrne Melissa</t>
  </si>
  <si>
    <t>Paid Online</t>
  </si>
  <si>
    <t>qJop1fUwHmXCTEqz</t>
  </si>
  <si>
    <t>Dec 26, 2025</t>
  </si>
  <si>
    <t>Michel Alves Martins</t>
  </si>
  <si>
    <t>13729996</t>
  </si>
  <si>
    <t>Jan 18, 2026</t>
  </si>
  <si>
    <t>Aleksei Kaliukin</t>
  </si>
  <si>
    <t>GGbzVNRgL6TIxfCu</t>
  </si>
  <si>
    <t>Jan 6, 2026</t>
  </si>
  <si>
    <t>Christian Krause</t>
  </si>
  <si>
    <t>3788716</t>
  </si>
  <si>
    <t>Viktoriia Kobenko</t>
  </si>
  <si>
    <t>67i1Ti8Uo2wkwXNf</t>
  </si>
  <si>
    <t>11120021</t>
  </si>
  <si>
    <t>Lucia Repetto</t>
  </si>
  <si>
    <t>K82EYXVAfOZ0AJ1R</t>
  </si>
  <si>
    <t>10047431</t>
  </si>
  <si>
    <t>Nicola Surman</t>
  </si>
  <si>
    <t>JtOQKcQ8lJy7HFy8</t>
  </si>
  <si>
    <t>8891011</t>
  </si>
  <si>
    <t>Fabian Verhaeghe</t>
  </si>
  <si>
    <t>MWpO06p9FyrWWWpk</t>
  </si>
  <si>
    <t>Dec 27, 2025</t>
  </si>
  <si>
    <t>Mehmet Saatcioglu</t>
  </si>
  <si>
    <t>5428307</t>
  </si>
  <si>
    <t>Jan 25, 2026</t>
  </si>
  <si>
    <t>Nestor Alonso Ramirez</t>
  </si>
  <si>
    <t>c86v63fsr6NJypNj</t>
  </si>
  <si>
    <t>Jan 17, 2026</t>
  </si>
  <si>
    <t>American Cultural Experiences Eirl</t>
  </si>
  <si>
    <t>8890731</t>
  </si>
  <si>
    <t>Daniela Pesucci</t>
  </si>
  <si>
    <t>ShzRpz7VAO9rTGik</t>
  </si>
  <si>
    <t>Jan 8, 2026</t>
  </si>
  <si>
    <t>Nayivi Ale</t>
  </si>
  <si>
    <t>8932967</t>
  </si>
  <si>
    <t>Shiri Givoly</t>
  </si>
  <si>
    <t>txGJa81mFbPrxSlC</t>
  </si>
  <si>
    <t>Jan 1, 2026</t>
  </si>
  <si>
    <t>Paolo Bommino</t>
  </si>
  <si>
    <t>8912175</t>
  </si>
  <si>
    <t>Karen Trickett</t>
  </si>
  <si>
    <t>MZdM80GpCcBFfgug</t>
  </si>
  <si>
    <t>9315439</t>
  </si>
  <si>
    <t>Liina Talistu</t>
  </si>
  <si>
    <t>RI1DEGYjdMbo5qXZ</t>
  </si>
  <si>
    <t>8630313</t>
  </si>
  <si>
    <t>Kay Maretich</t>
  </si>
  <si>
    <t>1bfBPRAfjsg6B4yx</t>
  </si>
  <si>
    <t>8891875</t>
  </si>
  <si>
    <t>Vladislav Trojan</t>
  </si>
  <si>
    <t>oPyULTKjjdKhO5DK</t>
  </si>
  <si>
    <t>Grazia Damato</t>
  </si>
  <si>
    <t>10834518</t>
  </si>
  <si>
    <t>Andrea Lindley</t>
  </si>
  <si>
    <t>GMZLxWqUqr3poLEO</t>
  </si>
  <si>
    <t>9698873</t>
  </si>
  <si>
    <t>Anthony Medeiros</t>
  </si>
  <si>
    <t>zBeLhR5mstl5T50m</t>
  </si>
  <si>
    <t>Aline Stauber</t>
  </si>
  <si>
    <t>9743490</t>
  </si>
  <si>
    <t>Chau Tran</t>
  </si>
  <si>
    <t>dfGtG315j5gYgKw2</t>
  </si>
  <si>
    <t>Jan 19, 2026</t>
  </si>
  <si>
    <t>Deniz canpolat</t>
  </si>
  <si>
    <t>12621239</t>
  </si>
  <si>
    <t>Emily Clark</t>
  </si>
  <si>
    <t>t5M2mi2iwhW7QGha</t>
  </si>
  <si>
    <t>6279727</t>
  </si>
  <si>
    <t>Jan 26, 2026</t>
  </si>
  <si>
    <t>Levent Aydin</t>
  </si>
  <si>
    <t>KjwnnkTAgg9LPR1l</t>
  </si>
  <si>
    <t>Rumana Ali</t>
  </si>
  <si>
    <t>Wenqi Song</t>
  </si>
  <si>
    <t>Jan 5, 2026</t>
  </si>
  <si>
    <t>Andrea Barrera</t>
  </si>
  <si>
    <t>10290113</t>
  </si>
  <si>
    <t>TOYGAR HILAL</t>
  </si>
  <si>
    <t>m93RvfCOlvtvxO2o</t>
  </si>
  <si>
    <t>9281073</t>
  </si>
  <si>
    <t>Tea Fidríková</t>
  </si>
  <si>
    <t>TlY8TG3fRQmwkCim</t>
  </si>
  <si>
    <t>9283805</t>
  </si>
  <si>
    <t>Sandy Tang</t>
  </si>
  <si>
    <t>4eIQiEkbf1vnAfBR</t>
  </si>
  <si>
    <t>Thomas Delor</t>
  </si>
  <si>
    <t>8936250</t>
  </si>
  <si>
    <t>Mustafa Baki</t>
  </si>
  <si>
    <t>Q6hmUhysYTZ5Fc8d</t>
  </si>
  <si>
    <t>Jan 3, 2026</t>
  </si>
  <si>
    <t>Omar Parihuana</t>
  </si>
  <si>
    <t>9283763</t>
  </si>
  <si>
    <t>Camila Mariel Perez</t>
  </si>
  <si>
    <t>IOpH3Rwl1viy1X0w</t>
  </si>
  <si>
    <t>11120381</t>
  </si>
  <si>
    <t>Tarek Nabi</t>
  </si>
  <si>
    <t>cqfhEzG6PYYDSR8U</t>
  </si>
  <si>
    <t>8888141</t>
  </si>
  <si>
    <t>Leonardo Landim</t>
  </si>
  <si>
    <t>Qv3mcQT5kWDLvbCK</t>
  </si>
  <si>
    <t>9416623</t>
  </si>
  <si>
    <t>EDOARDO ZANELLA</t>
  </si>
  <si>
    <t>BO957bh4j6bxnDvo</t>
  </si>
  <si>
    <t>Jasper Jones</t>
  </si>
  <si>
    <t>12621277</t>
  </si>
  <si>
    <t>Elisa Milner</t>
  </si>
  <si>
    <t>7cm1yKQ9P3ZAaVvE</t>
  </si>
  <si>
    <t>9821659</t>
  </si>
  <si>
    <t>Yasmine Johnson</t>
  </si>
  <si>
    <t>Ev6CKAo5EJw5QlaJ</t>
  </si>
  <si>
    <t>3788797</t>
  </si>
  <si>
    <t>Balint Iosif</t>
  </si>
  <si>
    <t>pX4j0eGwrul29eK2</t>
  </si>
  <si>
    <t>김 문정</t>
  </si>
  <si>
    <t>8668004</t>
  </si>
  <si>
    <t>Constantina Kamilari</t>
  </si>
  <si>
    <t>wAsFvEBTFsRy9YY1</t>
  </si>
  <si>
    <t>Raymond Samaha</t>
  </si>
  <si>
    <t>10811114</t>
  </si>
  <si>
    <t>Helena Dyer Bray</t>
  </si>
  <si>
    <t>o1zMYso6XiZKMZoU</t>
  </si>
  <si>
    <t>Ciara Collins</t>
  </si>
  <si>
    <t>Claudine Tucker</t>
  </si>
  <si>
    <t>11046773</t>
  </si>
  <si>
    <t>Irina Glushkova</t>
  </si>
  <si>
    <t>Vdsx7D1dPe0k34I7</t>
  </si>
  <si>
    <t>Aisha Ou-Pokrzewińska</t>
  </si>
  <si>
    <t>10209443</t>
  </si>
  <si>
    <t>Kosta Calligeros</t>
  </si>
  <si>
    <t>S61RQCUa4h4RlBBs</t>
  </si>
  <si>
    <t>3788752</t>
  </si>
  <si>
    <t>Luciana Caltabiano</t>
  </si>
  <si>
    <t>OlDSJiWbKsgLgPrJ</t>
  </si>
  <si>
    <t>Laia Manzanares Subirà</t>
  </si>
  <si>
    <t>FRAGOSO FERNANDO</t>
  </si>
  <si>
    <t>10013077</t>
  </si>
  <si>
    <t>ABDULLA F Albash</t>
  </si>
  <si>
    <t>TpIVHt3bcAxfjrqL</t>
  </si>
  <si>
    <t>9698836</t>
  </si>
  <si>
    <t>Aida Rryta</t>
  </si>
  <si>
    <t>Lhy5iqDtw4kN1Ci2</t>
  </si>
  <si>
    <t>Bryn Nettle</t>
  </si>
  <si>
    <t>Magdalena Stokowiec</t>
  </si>
  <si>
    <t>Jan 13, 2026</t>
  </si>
  <si>
    <t>JIN YOUNG JANG</t>
  </si>
  <si>
    <t>4605178</t>
  </si>
  <si>
    <t>Andrew Ratcliffe</t>
  </si>
  <si>
    <t>dNBFPpLhl0Dvgere</t>
  </si>
  <si>
    <t>9592592</t>
  </si>
  <si>
    <t>Barbara Launi</t>
  </si>
  <si>
    <t>Y0Vksl92o6AO9oys</t>
  </si>
  <si>
    <t>12486053</t>
  </si>
  <si>
    <t>Tamuna Gamkrelidze</t>
  </si>
  <si>
    <t>nBdkMr5X6cjKYpPL</t>
  </si>
  <si>
    <t>Jan 2, 2026</t>
  </si>
  <si>
    <t>Thomas daenens</t>
  </si>
  <si>
    <t>8932411</t>
  </si>
  <si>
    <t>Magdalena Trybus</t>
  </si>
  <si>
    <t>nz1dtv3kfsJZ6JyX</t>
  </si>
  <si>
    <t>Dec 13, 2025</t>
  </si>
  <si>
    <t>Mateusz Kaciuba</t>
  </si>
  <si>
    <t>10668724</t>
  </si>
  <si>
    <t>Someja Isufi</t>
  </si>
  <si>
    <t>8eidzU9Ies3JKeJb</t>
  </si>
  <si>
    <t>Marthine Paris</t>
  </si>
  <si>
    <t>9626274</t>
  </si>
  <si>
    <t>Gloria Murray</t>
  </si>
  <si>
    <t>wSu4OBMUftG1gBQ4</t>
  </si>
  <si>
    <t>Alessandro Fossato</t>
  </si>
  <si>
    <t>5042200</t>
  </si>
  <si>
    <t>Jan 16, 2026</t>
  </si>
  <si>
    <t>Nao Tsukamoto</t>
  </si>
  <si>
    <t>1oNx0Q7FpSAh3xW0</t>
  </si>
  <si>
    <t>8935631</t>
  </si>
  <si>
    <t>Albrecht Weiland</t>
  </si>
  <si>
    <t>NTqHweEk2R6Zxt2A</t>
  </si>
  <si>
    <t>Jan 10, 2026</t>
  </si>
  <si>
    <t>Twine Brooke</t>
  </si>
  <si>
    <t>8935415</t>
  </si>
  <si>
    <t>Andy Loots</t>
  </si>
  <si>
    <t>T6On5VimAcQX6eZG</t>
  </si>
  <si>
    <t>Jan 9, 2026</t>
  </si>
  <si>
    <t>RONGBIN DENG</t>
  </si>
  <si>
    <t>3788679</t>
  </si>
  <si>
    <t>Julija Sarmento</t>
  </si>
  <si>
    <t>tGWxGnSo0Xcp25T2</t>
  </si>
  <si>
    <t>Simona Potenza</t>
  </si>
  <si>
    <t>Réf. pièce</t>
  </si>
  <si>
    <t>BOOKING ID</t>
  </si>
  <si>
    <t>BOOK</t>
  </si>
  <si>
    <t>Encaissement BOOKING - Jan 29, 2026</t>
  </si>
  <si>
    <t>401BOOKING</t>
  </si>
  <si>
    <t>Frais + Payment Charge  - Jan 29, 2026</t>
  </si>
  <si>
    <t>411BOOKING</t>
  </si>
  <si>
    <t>PON48-1G- BOOKING - Thais Dias Gonzalez - CO :Jan 20, 2026</t>
  </si>
  <si>
    <t>PON48-1G - 6698916- FEE BOOKING - Thais Dias Gonzalez - CO :Jan 20, 2026</t>
  </si>
  <si>
    <t>PON48-1D- BOOKING - esin bankoğlu yentur - CO :Jan 24, 2026</t>
  </si>
  <si>
    <t>PON48-1D - 6698991- FEE BOOKING - esin bankoğlu yentur - CO :Jan 24, 2026</t>
  </si>
  <si>
    <t>PON48-1D- BOOKING - zoe deboick - CO :Jan 21, 2026</t>
  </si>
  <si>
    <t>PON48-1D - 6698991- FEE BOOKING - zoe deboick - CO :Jan 21, 2026</t>
  </si>
  <si>
    <t>PON48-1D- BOOKING - Abdulla Alhajri - CO :Dec 28, 2025</t>
  </si>
  <si>
    <t>PON48-1D - 6698991- FEE BOOKING - Abdulla Alhajri - CO :Dec 28, 2025</t>
  </si>
  <si>
    <t>CAI31-2D- BOOKING - Nataly Shlayem - CO :Jan 22, 2026</t>
  </si>
  <si>
    <t>CAI31-2D - 12167482- FEE BOOKING - Nataly Shlayem - CO :Jan 22, 2026</t>
  </si>
  <si>
    <t>FSA33-2D- BOOKING - Byrne Melissa - CO :Jan 23, 2026</t>
  </si>
  <si>
    <t>FSA33-2D - 10725315- FEE BOOKING - Byrne Melissa - CO :Jan 23, 2026</t>
  </si>
  <si>
    <t>FSA33-2D- BOOKING - Michel Alves Martins - CO :Dec 26, 2025</t>
  </si>
  <si>
    <t>FSA33-2D - 10725315- FEE BOOKING - Michel Alves Martins - CO :Dec 26, 2025</t>
  </si>
  <si>
    <t>ALF6-4F- BOOKING - Aleksei Kaliukin - CO :Jan 18, 2026</t>
  </si>
  <si>
    <t>ALF6-4F - 13729996- FEE BOOKING - Aleksei Kaliukin - CO :Jan 18, 2026</t>
  </si>
  <si>
    <t>ALF6-4F- BOOKING - Christian Krause - CO :Jan 6, 2026</t>
  </si>
  <si>
    <t>ALF6-4F - 13729996- FEE BOOKING - Christian Krause - CO :Jan 6, 2026</t>
  </si>
  <si>
    <t>ROY15-5D- BOOKING - Viktoriia Kobenko - CO :Jan 21, 2026</t>
  </si>
  <si>
    <t>ROY15-5D - 3788716- FEE BOOKING - Viktoriia Kobenko - CO :Jan 21, 2026</t>
  </si>
  <si>
    <t>BOU40-0G- BOOKING - Lucia Repetto - CO :Jan 24, 2026</t>
  </si>
  <si>
    <t>BOU40-0G - 11120021- FEE BOOKING - Lucia Repetto - CO :Jan 24, 2026</t>
  </si>
  <si>
    <t>ROU14-1D- BOOKING - Nicola Surman - CO :Jan 23, 2026</t>
  </si>
  <si>
    <t>ROU14-1D - 10047431- FEE BOOKING - Nicola Surman - CO :Jan 23, 2026</t>
  </si>
  <si>
    <t>SEB44-1D- BOOKING - Fabian Verhaeghe - CO :Jan 21, 2026</t>
  </si>
  <si>
    <t>SEB44-1D - 8891011- FEE BOOKING - Fabian Verhaeghe - CO :Jan 21, 2026</t>
  </si>
  <si>
    <t>SEB44-1D- BOOKING - Mehmet Saatcioglu - CO :Dec 27, 2025</t>
  </si>
  <si>
    <t>SEB44-1D - 8891011- FEE BOOKING - Mehmet Saatcioglu - CO :Dec 27, 2025</t>
  </si>
  <si>
    <t>LAB77-0D- BOOKING - Nestor Alonso Ramirez - CO :Jan 25, 2026</t>
  </si>
  <si>
    <t>LAB77-0D - 5428307- FEE BOOKING - Nestor Alonso Ramirez - CO :Jan 25, 2026</t>
  </si>
  <si>
    <t>LAB77-0D- BOOKING - American Cultural Experiences Eirl - CO :Jan 17, 2026</t>
  </si>
  <si>
    <t>LAB77-0D - 5428307- FEE BOOKING - American Cultural Experiences Eirl - CO :Jan 17, 2026</t>
  </si>
  <si>
    <t>STD250-1D- BOOKING - Daniela Pesucci - CO :Jan 25, 2026</t>
  </si>
  <si>
    <t>STD250-1D - 8890731- FEE BOOKING - Daniela Pesucci - CO :Jan 25, 2026</t>
  </si>
  <si>
    <t>STD250-1D- BOOKING - Nayivi Ale - CO :Jan 8, 2026</t>
  </si>
  <si>
    <t>STD250-1D - 8890731- FEE BOOKING - Nayivi Ale - CO :Jan 8, 2026</t>
  </si>
  <si>
    <t>TBG77-1D- BOOKING - Shiri Givoly - CO :Jan 23, 2026</t>
  </si>
  <si>
    <t>TBG77-1D - 8932967- FEE BOOKING - Shiri Givoly - CO :Jan 23, 2026</t>
  </si>
  <si>
    <t>TBG77-1D- BOOKING - Paolo Bommino - CO :Jan 1, 2026</t>
  </si>
  <si>
    <t>TBG77-1D - 8932967- FEE BOOKING - Paolo Bommino - CO :Jan 1, 2026</t>
  </si>
  <si>
    <t>ABO108-2G- BOOKING - Karen Trickett - CO :Jan 22, 2026</t>
  </si>
  <si>
    <t>ABO108-2G - 8912175- FEE BOOKING - Karen Trickett - CO :Jan 22, 2026</t>
  </si>
  <si>
    <t>PEL8-0D- BOOKING - Liina Talistu - CO :Jan 22, 2026</t>
  </si>
  <si>
    <t>PEL8-0D - 9315439- FEE BOOKING - Liina Talistu - CO :Jan 22, 2026</t>
  </si>
  <si>
    <t>ANT10-1G- BOOKING - Kay Maretich - CO :Jan 17, 2026</t>
  </si>
  <si>
    <t>ANT10-1G - 8630313- FEE BOOKING - Kay Maretich - CO :Jan 17, 2026</t>
  </si>
  <si>
    <t>ABO58-1D- BOOKING - Vladislav Trojan - CO :Jan 22, 2026</t>
  </si>
  <si>
    <t>ABO58-1D - 8891875- FEE BOOKING - Vladislav Trojan - CO :Jan 22, 2026</t>
  </si>
  <si>
    <t>ABO58-1D- BOOKING - Grazia Damato - CO :Jan 18, 2026</t>
  </si>
  <si>
    <t>ABO58-1D - 8891875- FEE BOOKING - Grazia Damato - CO :Jan 18, 2026</t>
  </si>
  <si>
    <t>GOD9-2F- BOOKING - Andrea Lindley - CO :Jan 23, 2026</t>
  </si>
  <si>
    <t>GOD9-2F - 10834518- FEE BOOKING - Andrea Lindley - CO :Jan 23, 2026</t>
  </si>
  <si>
    <t>CAU28-2G- BOOKING - Anthony Medeiros - CO :Jan 24, 2026</t>
  </si>
  <si>
    <t>CAU28-2G - 9698873- FEE BOOKING - Anthony Medeiros - CO :Jan 24, 2026</t>
  </si>
  <si>
    <t>CAU28-2G- BOOKING - Aline Stauber - CO :Jan 18, 2026</t>
  </si>
  <si>
    <t>CAU28-2G - 9698873- FEE BOOKING - Aline Stauber - CO :Jan 18, 2026</t>
  </si>
  <si>
    <t>OPE18-4G- BOOKING - Chau Tran - CO :Jan 23, 2026</t>
  </si>
  <si>
    <t>OPE18-4G - 9743490- FEE BOOKING - Chau Tran - CO :Jan 23, 2026</t>
  </si>
  <si>
    <t>OPE18-4G- BOOKING - Deniz canpolat - CO :Jan 19, 2026</t>
  </si>
  <si>
    <t>OPE18-4G - 9743490- FEE BOOKING - Deniz canpolat - CO :Jan 19, 2026</t>
  </si>
  <si>
    <t>TBG52-1G- BOOKING - Emily Clark - CO :Jan 20, 2026</t>
  </si>
  <si>
    <t>TBG52-1G - 12621239- FEE BOOKING - Emily Clark - CO :Jan 20, 2026</t>
  </si>
  <si>
    <t>LAO4-0G- BOOKING - Levent Aydin - CO :Jan 26, 2026</t>
  </si>
  <si>
    <t>LAO4-0G - 6279727- FEE BOOKING - Levent Aydin - CO :Jan 26, 2026</t>
  </si>
  <si>
    <t>LAO4-0G- BOOKING - Rumana Ali - CO :Jan 23, 2026</t>
  </si>
  <si>
    <t>LAO4-0G - 6279727- FEE BOOKING - Rumana Ali - CO :Jan 23, 2026</t>
  </si>
  <si>
    <t>LAO4-0G- BOOKING - Wenqi Song - CO :Jan 17, 2026</t>
  </si>
  <si>
    <t>LAO4-0G - 6279727- FEE BOOKING - Wenqi Song - CO :Jan 17, 2026</t>
  </si>
  <si>
    <t>LAO4-0G- BOOKING - Andrea Barrera - CO :Jan 5, 2026</t>
  </si>
  <si>
    <t>LAO4-0G - 6279727- FEE BOOKING - Andrea Barrera - CO :Jan 5, 2026</t>
  </si>
  <si>
    <t>TRN13-0F- BOOKING - TOYGAR HILAL - CO :Jan 18, 2026</t>
  </si>
  <si>
    <t>TRN13-0F - 10290113- FEE BOOKING - TOYGAR HILAL - CO :Jan 18, 2026</t>
  </si>
  <si>
    <t>MAR181-2G- BOOKING - Tea Fidríková - CO :Jan 19, 2026</t>
  </si>
  <si>
    <t>MAR181-2G - 9281073- FEE BOOKING - Tea Fidríková - CO :Jan 19, 2026</t>
  </si>
  <si>
    <t>MAR326-3D- BOOKING - Sandy Tang - CO :Jan 19, 2026</t>
  </si>
  <si>
    <t>MAR326-3D - 9283805- FEE BOOKING - Sandy Tang - CO :Jan 19, 2026</t>
  </si>
  <si>
    <t>MAR326-3D- BOOKING - Thomas Delor - CO :Dec 27, 2025</t>
  </si>
  <si>
    <t>MAR326-3D - 9283805- FEE BOOKING - Thomas Delor - CO :Dec 27, 2025</t>
  </si>
  <si>
    <t>CLE7-0D- BOOKING - Mustafa Baki - CO :Jan 22, 2026</t>
  </si>
  <si>
    <t>CLE7-0D - 8936250- FEE BOOKING - Mustafa Baki - CO :Jan 22, 2026</t>
  </si>
  <si>
    <t>CLE7-0D- BOOKING - Omar Parihuana - CO :Jan 3, 2026</t>
  </si>
  <si>
    <t>CLE7-0D - 8936250- FEE BOOKING - Omar Parihuana - CO :Jan 3, 2026</t>
  </si>
  <si>
    <t>GOD24-0F- BOOKING - Camila Mariel Perez - CO :Jan 23, 2026</t>
  </si>
  <si>
    <t>GOD24-0F - 9283763- FEE BOOKING - Camila Mariel Perez - CO :Jan 23, 2026</t>
  </si>
  <si>
    <t>MIC18-4F- BOOKING - Tarek Nabi - CO :Jan 17, 2026</t>
  </si>
  <si>
    <t>MIC18-4F - 11120381- FEE BOOKING - Tarek Nabi - CO :Jan 17, 2026</t>
  </si>
  <si>
    <t>NDV14-1D- BOOKING - Leonardo Landim - CO :Jan 23, 2026</t>
  </si>
  <si>
    <t>NDV14-1D - 8888141- FEE BOOKING - Leonardo Landim - CO :Jan 23, 2026</t>
  </si>
  <si>
    <t>RIV85-1G- BOOKING - EDOARDO ZANELLA - CO :Jan 23, 2026</t>
  </si>
  <si>
    <t>RIV85-1G - 9416623- FEE BOOKING - EDOARDO ZANELLA - CO :Jan 23, 2026</t>
  </si>
  <si>
    <t>RIV85-1G- BOOKING - Jasper Jones - CO :Jan 19, 2026</t>
  </si>
  <si>
    <t>RIV85-1G - 9416623- FEE BOOKING - Jasper Jones - CO :Jan 19, 2026</t>
  </si>
  <si>
    <t>TBG52-1G- BOOKING - Elisa Milner - CO :Jan 17, 2026</t>
  </si>
  <si>
    <t>TBG52-1G - 12621277- FEE BOOKING - Elisa Milner - CO :Jan 17, 2026</t>
  </si>
  <si>
    <t>MAR181-1G- BOOKING - Yasmine Johnson - CO :Jan 19, 2026</t>
  </si>
  <si>
    <t>MAR181-1G - 9821659- FEE BOOKING - Yasmine Johnson - CO :Jan 19, 2026</t>
  </si>
  <si>
    <t>ABO52-1F- BOOKING - Balint Iosif - CO :Jan 25, 2026</t>
  </si>
  <si>
    <t>ABO52-1F - 3788797- FEE BOOKING - Balint Iosif - CO :Jan 25, 2026</t>
  </si>
  <si>
    <t>ABO52-1F- BOOKING - 김 문정 - CO :Jan 18, 2026</t>
  </si>
  <si>
    <t>ABO52-1F - 3788797- FEE BOOKING - 김 문정 - CO :Jan 18, 2026</t>
  </si>
  <si>
    <t>GRA41-1G- BOOKING - Constantina Kamilari - CO :Jan 24, 2026</t>
  </si>
  <si>
    <t>GRA41-1G - 8668004- FEE BOOKING - Constantina Kamilari - CO :Jan 24, 2026</t>
  </si>
  <si>
    <t>GRA41-1G- BOOKING - Raymond Samaha - CO :Jan 19, 2026</t>
  </si>
  <si>
    <t>GRA41-1G - 8668004- FEE BOOKING - Raymond Samaha - CO :Jan 19, 2026</t>
  </si>
  <si>
    <t>OUR12-1G- BOOKING - Helena Dyer Bray - CO :Jan 26, 2026</t>
  </si>
  <si>
    <t>OUR12-1G - 10811114- FEE BOOKING - Helena Dyer Bray - CO :Jan 26, 2026</t>
  </si>
  <si>
    <t>OUR12-1G- BOOKING - Ciara Collins - CO :Jan 22, 2026</t>
  </si>
  <si>
    <t>OUR12-1G - 10811114- FEE BOOKING - Ciara Collins - CO :Jan 22, 2026</t>
  </si>
  <si>
    <t>OUR12-1G- BOOKING - Claudine Tucker - CO :Jan 20, 2026</t>
  </si>
  <si>
    <t>OUR12-1G - 10811114- FEE BOOKING - Claudine Tucker - CO :Jan 20, 2026</t>
  </si>
  <si>
    <t>CHE6-3F- BOOKING - Irina Glushkova - CO :Jan 23, 2026</t>
  </si>
  <si>
    <t>CHE6-3F - 11046773- FEE BOOKING - Irina Glushkova - CO :Jan 23, 2026</t>
  </si>
  <si>
    <t>CHE6-3F- BOOKING - Aisha Ou-Pokrzewińska - CO :Jan 19, 2026</t>
  </si>
  <si>
    <t>CHE6-3F - 11046773- FEE BOOKING - Aisha Ou-Pokrzewińska - CO :Jan 19, 2026</t>
  </si>
  <si>
    <t>BAC116-1D- BOOKING - Kosta Calligeros - CO :Jan 20, 2026</t>
  </si>
  <si>
    <t>BAC116-1D - 10209443- FEE BOOKING - Kosta Calligeros - CO :Jan 20, 2026</t>
  </si>
  <si>
    <t>ABO52-0D- BOOKING - Luciana Caltabiano - CO :Jan 26, 2026</t>
  </si>
  <si>
    <t>ABO52-0D - 3788752- FEE BOOKING - Luciana Caltabiano - CO :Jan 26, 2026</t>
  </si>
  <si>
    <t>ABO52-0D- BOOKING - Laia Manzanares Subirà - CO :Jan 23, 2026</t>
  </si>
  <si>
    <t>ABO52-0D - 3788752- FEE BOOKING - Laia Manzanares Subirà - CO :Jan 23, 2026</t>
  </si>
  <si>
    <t>ABO52-0D- BOOKING - FRAGOSO FERNANDO - CO :Jan 20, 2026</t>
  </si>
  <si>
    <t>ABO52-0D - 3788752- FEE BOOKING - FRAGOSO FERNANDO - CO :Jan 20, 2026</t>
  </si>
  <si>
    <t>VOL18-2G- BOOKING - ABDULLA F Albash - CO :Jan 23, 2026</t>
  </si>
  <si>
    <t>VOL18-2G - 10013077- FEE BOOKING - ABDULLA F Albash - CO :Jan 23, 2026</t>
  </si>
  <si>
    <t>CAU28-2D- BOOKING - Aida Rryta - CO :Jan 25, 2026</t>
  </si>
  <si>
    <t>CAU28-2D - 9698836- FEE BOOKING - Aida Rryta - CO :Jan 25, 2026</t>
  </si>
  <si>
    <t>CAU28-2D- BOOKING - Bryn Nettle - CO :Jan 25, 2026</t>
  </si>
  <si>
    <t>CAU28-2D - 9698836- FEE BOOKING - Bryn Nettle - CO :Jan 25, 2026</t>
  </si>
  <si>
    <t>CAU28-2D- BOOKING - Magdalena Stokowiec - CO :Jan 18, 2026</t>
  </si>
  <si>
    <t>CAU28-2D - 9698836- FEE BOOKING - Magdalena Stokowiec - CO :Jan 18, 2026</t>
  </si>
  <si>
    <t>CAU28-2D- BOOKING - JIN YOUNG JANG - CO :Jan 13, 2026</t>
  </si>
  <si>
    <t>CAU28-2D - 9698836- FEE BOOKING - JIN YOUNG JANG - CO :Jan 13, 2026</t>
  </si>
  <si>
    <t>RAM80-1G- BOOKING - Andrew Ratcliffe - CO :Jan 23, 2026</t>
  </si>
  <si>
    <t>RAM80-1G - 4605178- FEE BOOKING - Andrew Ratcliffe - CO :Jan 23, 2026</t>
  </si>
  <si>
    <t>FLO13-1F- BOOKING - Barbara Launi - CO :Jan 22, 2026</t>
  </si>
  <si>
    <t>FLO13-1F - 9592592- FEE BOOKING - Barbara Launi - CO :Jan 22, 2026</t>
  </si>
  <si>
    <t>MTM13-2G- BOOKING - Tamuna Gamkrelidze - CO :Jan 22, 2026</t>
  </si>
  <si>
    <t>MTM13-2G - 12486053- FEE BOOKING - Tamuna Gamkrelidze - CO :Jan 22, 2026</t>
  </si>
  <si>
    <t>MTM13-2G- BOOKING - Thomas daenens - CO :Jan 2, 2026</t>
  </si>
  <si>
    <t>MTM13-2G - 12486053- FEE BOOKING - Thomas daenens - CO :Jan 2, 2026</t>
  </si>
  <si>
    <t>TIL14-5G- BOOKING - Magdalena Trybus - CO :Jan 21, 2026</t>
  </si>
  <si>
    <t>TIL14-5G - 8932411- FEE BOOKING - Magdalena Trybus - CO :Jan 21, 2026</t>
  </si>
  <si>
    <t>TIL14-5G- BOOKING - Mateusz Kaciuba - CO :Dec 13, 2025</t>
  </si>
  <si>
    <t>TIL14-5G - 8932411- FEE BOOKING - Mateusz Kaciuba - CO :Dec 13, 2025</t>
  </si>
  <si>
    <t>MNG118-1D- BOOKING - Someja Isufi - CO :Jan 23, 2026</t>
  </si>
  <si>
    <t>MNG118-1D - 10668724- FEE BOOKING - Someja Isufi - CO :Jan 23, 2026</t>
  </si>
  <si>
    <t>MNG118-1D- BOOKING - Marthine Paris - CO :Jan 20, 2026</t>
  </si>
  <si>
    <t>MNG118-1D - 10668724- FEE BOOKING - Marthine Paris - CO :Jan 20, 2026</t>
  </si>
  <si>
    <t>CAR7-0G- BOOKING - Gloria Murray - CO :Jan 22, 2026</t>
  </si>
  <si>
    <t>CAR7-0G - 9626274- FEE BOOKING - Gloria Murray - CO :Jan 22, 2026</t>
  </si>
  <si>
    <t>CAR7-0G- BOOKING - Alessandro Fossato - CO :Jan 18, 2026</t>
  </si>
  <si>
    <t>CAR7-0G - 9626274- FEE BOOKING - Alessandro Fossato - CO :Jan 18, 2026</t>
  </si>
  <si>
    <t>ARC74-0G- BOOKING - Nao Tsukamoto - CO :Jan 16, 2026</t>
  </si>
  <si>
    <t>ARC74-0G - 5042200- FEE BOOKING - Nao Tsukamoto - CO :Jan 16, 2026</t>
  </si>
  <si>
    <t>JJR27-1F- BOOKING - Albrecht Weiland - CO :Jan 25, 2026</t>
  </si>
  <si>
    <t>JJR27-1F - 8935631- FEE BOOKING - Albrecht Weiland - CO :Jan 25, 2026</t>
  </si>
  <si>
    <t>JJR27-1F- BOOKING - Twine Brooke - CO :Jan 10, 2026</t>
  </si>
  <si>
    <t>JJR27-1F - 8935631- FEE BOOKING - Twine Brooke - CO :Jan 10, 2026</t>
  </si>
  <si>
    <t>SEN18-3D- BOOKING - Andy Loots - CO :Jan 23, 2026</t>
  </si>
  <si>
    <t>SEN18-3D - 8935415- FEE BOOKING - Andy Loots - CO :Jan 23, 2026</t>
  </si>
  <si>
    <t>SEN18-3D- BOOKING - RONGBIN DENG - CO :Jan 9, 2026</t>
  </si>
  <si>
    <t>SEN18-3D - 8935415- FEE BOOKING - RONGBIN DENG - CO :Jan 9, 2026</t>
  </si>
  <si>
    <t>STD97-1G- BOOKING - Julija Sarmento - CO :Jan 25, 2026</t>
  </si>
  <si>
    <t>STD97-1G - 3788679- FEE BOOKING - Julija Sarmento - CO :Jan 25, 2026</t>
  </si>
  <si>
    <t>STD97-1G- BOOKING - Simona Potenza - CO :Jan 8, 2026</t>
  </si>
  <si>
    <t>STD97-1G - 3788679- FEE BOOKING - Simona Potenza - CO :Jan 8, 2026</t>
  </si>
  <si>
    <t>ENCAISSEMENTS</t>
  </si>
  <si>
    <t>SUM de Débit</t>
  </si>
  <si>
    <t>SUM de Crédit</t>
  </si>
  <si>
    <t/>
  </si>
  <si>
    <t>Total général</t>
  </si>
  <si>
    <t>SUM de 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</si>
</sst>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€-1]"/>
    <numFmt numFmtId="165" formatCode="dd/mm/yyyy"/>
    <numFmt numFmtId="166" formatCode="#,##0.00&quot;€&quot;"/>
    <numFmt numFmtId="167" formatCode="dd/MM/yyyy"/>
    <numFmt numFmtId="168" formatCode="dd&quot;/&quot;mm&quot;/&quot;yyyy"/>
    <numFmt numFmtId="169" formatCode="dd/mm/yy"/>
  </numFmts>
  <fonts count="9">
    <font>
      <sz val="10.0"/>
      <color rgb="FF000000"/>
      <name val="Arial"/>
      <scheme val="minor"/>
    </font>
    <font>
      <color rgb="FF000000"/>
      <name val="Arial"/>
      <scheme val="minor"/>
    </font>
    <font>
      <b/>
      <sz val="9.0"/>
      <color rgb="FF000000"/>
      <name val="Arial"/>
    </font>
    <font>
      <color theme="1"/>
      <name val="Arial"/>
      <scheme val="minor"/>
    </font>
    <font>
      <sz val="8.0"/>
      <color rgb="FF000000"/>
      <name val="Arial"/>
    </font>
    <font>
      <sz val="9.0"/>
      <color rgb="FF000000"/>
      <name val="&quot;Google Sans Mono&quot;"/>
    </font>
    <font>
      <sz val="12.0"/>
      <color rgb="FF000000"/>
      <name val="Calibri"/>
    </font>
    <font>
      <b/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ADDF1"/>
        <bgColor rgb="FFAADDF1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readingOrder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2" fillId="4" fontId="2" numFmtId="164" xfId="0" applyAlignment="1" applyBorder="1" applyFill="1" applyFont="1" applyNumberFormat="1">
      <alignment horizontal="center" readingOrder="0"/>
    </xf>
    <xf borderId="2" fillId="5" fontId="2" numFmtId="164" xfId="0" applyAlignment="1" applyBorder="1" applyFill="1" applyFont="1" applyNumberFormat="1">
      <alignment horizontal="center"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0" fontId="3" numFmtId="4" xfId="0" applyFont="1" applyNumberFormat="1"/>
    <xf borderId="0" fillId="2" fontId="3" numFmtId="4" xfId="0" applyFont="1" applyNumberFormat="1"/>
    <xf borderId="3" fillId="0" fontId="4" numFmtId="0" xfId="0" applyAlignment="1" applyBorder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165" xfId="0" applyAlignment="1" applyFont="1" applyNumberFormat="1">
      <alignment readingOrder="0" vertical="top"/>
    </xf>
    <xf borderId="0" fillId="0" fontId="4" numFmtId="0" xfId="0" applyAlignment="1" applyFont="1">
      <alignment horizontal="right" readingOrder="0" vertical="top"/>
    </xf>
    <xf borderId="0" fillId="0" fontId="4" numFmtId="0" xfId="0" applyAlignment="1" applyFont="1">
      <alignment horizontal="center" readingOrder="0"/>
    </xf>
    <xf borderId="0" fillId="5" fontId="4" numFmtId="0" xfId="0" applyAlignment="1" applyFont="1">
      <alignment horizontal="right" readingOrder="0" vertical="top"/>
    </xf>
    <xf borderId="0" fillId="0" fontId="3" numFmtId="0" xfId="0" applyAlignment="1" applyFont="1">
      <alignment readingOrder="0"/>
    </xf>
    <xf borderId="0" fillId="5" fontId="5" numFmtId="0" xfId="0" applyFont="1"/>
    <xf borderId="0" fillId="0" fontId="4" numFmtId="166" xfId="0" applyAlignment="1" applyFont="1" applyNumberFormat="1">
      <alignment horizontal="right" readingOrder="0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right" readingOrder="0" vertical="top"/>
    </xf>
    <xf borderId="0" fillId="5" fontId="4" numFmtId="164" xfId="0" applyAlignment="1" applyFont="1" applyNumberFormat="1">
      <alignment horizontal="right" readingOrder="0" vertical="top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4" fillId="0" fontId="4" numFmtId="0" xfId="0" applyAlignment="1" applyBorder="1" applyFont="1">
      <alignment readingOrder="0" vertical="top"/>
    </xf>
    <xf borderId="5" fillId="0" fontId="4" numFmtId="0" xfId="0" applyAlignment="1" applyBorder="1" applyFont="1">
      <alignment readingOrder="0" vertical="top"/>
    </xf>
    <xf borderId="5" fillId="0" fontId="4" numFmtId="165" xfId="0" applyAlignment="1" applyBorder="1" applyFont="1" applyNumberFormat="1">
      <alignment readingOrder="0" vertical="top"/>
    </xf>
    <xf borderId="5" fillId="0" fontId="4" numFmtId="0" xfId="0" applyAlignment="1" applyBorder="1" applyFont="1">
      <alignment horizontal="right" vertical="top"/>
    </xf>
    <xf borderId="5" fillId="0" fontId="4" numFmtId="0" xfId="0" applyAlignment="1" applyBorder="1" applyFont="1">
      <alignment horizontal="center"/>
    </xf>
    <xf borderId="5" fillId="0" fontId="4" numFmtId="164" xfId="0" applyAlignment="1" applyBorder="1" applyFont="1" applyNumberFormat="1">
      <alignment horizontal="right" readingOrder="0" vertical="top"/>
    </xf>
    <xf borderId="5" fillId="5" fontId="4" numFmtId="164" xfId="0" applyAlignment="1" applyBorder="1" applyFont="1" applyNumberFormat="1">
      <alignment horizontal="right" readingOrder="0" vertical="top"/>
    </xf>
    <xf borderId="0" fillId="0" fontId="3" numFmtId="164" xfId="0" applyFont="1" applyNumberFormat="1"/>
    <xf borderId="0" fillId="5" fontId="3" numFmtId="164" xfId="0" applyFont="1" applyNumberFormat="1"/>
    <xf borderId="0" fillId="2" fontId="3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8" fontId="3" numFmtId="167" xfId="0" applyAlignment="1" applyFont="1" applyNumberFormat="1">
      <alignment readingOrder="0"/>
    </xf>
    <xf borderId="0" fillId="9" fontId="3" numFmtId="167" xfId="0" applyAlignment="1" applyFill="1" applyFont="1" applyNumberFormat="1">
      <alignment readingOrder="0"/>
    </xf>
    <xf borderId="0" fillId="9" fontId="3" numFmtId="0" xfId="0" applyAlignment="1" applyFont="1">
      <alignment readingOrder="0"/>
    </xf>
    <xf borderId="0" fillId="8" fontId="3" numFmtId="0" xfId="0" applyFont="1"/>
    <xf borderId="0" fillId="4" fontId="3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0" fontId="3" numFmtId="168" xfId="0" applyFont="1" applyNumberFormat="1"/>
    <xf borderId="0" fillId="2" fontId="3" numFmtId="0" xfId="0" applyFont="1"/>
    <xf borderId="0" fillId="0" fontId="3" numFmtId="167" xfId="0" applyFont="1" applyNumberFormat="1"/>
    <xf borderId="0" fillId="2" fontId="6" numFmtId="0" xfId="0" applyAlignment="1" applyFont="1">
      <alignment readingOrder="0" shrinkToFit="0" vertical="bottom" wrapText="0"/>
    </xf>
    <xf borderId="0" fillId="4" fontId="7" numFmtId="0" xfId="0" applyAlignment="1" applyFont="1">
      <alignment readingOrder="0" vertical="bottom"/>
    </xf>
    <xf borderId="0" fillId="4" fontId="7" numFmtId="2" xfId="0" applyAlignment="1" applyFont="1" applyNumberFormat="1">
      <alignment readingOrder="0" vertical="bottom"/>
    </xf>
    <xf borderId="0" fillId="0" fontId="3" numFmtId="16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72" sheet="Export Encaissements non-lettré"/>
  </cacheSource>
  <cacheFields>
    <cacheField name="ID APPARTEMENT" numFmtId="4">
      <sharedItems containsBlank="1">
        <s v="6698916"/>
        <s v="6698991"/>
        <s v="12167482"/>
        <s v="10725315"/>
        <s v="13729996"/>
        <s v="3788716"/>
        <s v="11120021"/>
        <s v="10047431"/>
        <s v="8891011"/>
        <s v="5428307"/>
        <s v="8890731"/>
        <s v="8932967"/>
        <s v="8912175"/>
        <s v="9315439"/>
        <s v="8630313"/>
        <s v="8891875"/>
        <s v="10834518"/>
        <s v="9698873"/>
        <s v="9743490"/>
        <s v="12621239"/>
        <s v="6279727"/>
        <s v="10290113"/>
        <s v="9281073"/>
        <s v="9283805"/>
        <s v="8936250"/>
        <s v="9283763"/>
        <s v="11120381"/>
        <s v="8888141"/>
        <s v="9416623"/>
        <s v="12621277"/>
        <s v="9821659"/>
        <s v="3788797"/>
        <s v="8668004"/>
        <s v="10811114"/>
        <s v="11046773"/>
        <s v="10209443"/>
        <s v="3788752"/>
        <s v="10013077"/>
        <s v="9698836"/>
        <s v="4605178"/>
        <s v="9592592"/>
        <s v="12486053"/>
        <s v="8932411"/>
        <s v="10668724"/>
        <s v="9626274"/>
        <s v="5042200"/>
        <s v="8935631"/>
        <s v="8935415"/>
        <s v="3788679"/>
        <s v=""/>
        <m/>
      </sharedItems>
    </cacheField>
    <cacheField name="Compte" numFmtId="0">
      <sharedItems containsString="0" containsBlank="1" containsNumber="1" containsInteger="1">
        <n v="5.1105E11"/>
        <m/>
      </sharedItems>
    </cacheField>
    <cacheField name="Intitulé" numFmtId="0">
      <sharedItems containsBlank="1">
        <s v="BOOKING"/>
        <m/>
      </sharedItems>
    </cacheField>
    <cacheField name="Date" numFmtId="165">
      <sharedItems containsDate="1" containsString="0" containsBlank="1">
        <d v="2026-01-30T00:00:00Z"/>
        <m/>
      </sharedItems>
    </cacheField>
    <cacheField name="Journal" numFmtId="0">
      <sharedItems containsBlank="1">
        <s v="BQ3"/>
        <s v="BQ10"/>
        <s v="BQ5"/>
        <m/>
      </sharedItems>
    </cacheField>
    <cacheField name="Libellé" numFmtId="0">
      <sharedItems containsBlank="1">
        <s v="VIREMENT Booking.com B.V NO.TYolCRC4GE3o2Som/ID.6698916"/>
        <s v="VIREMENT Booking.com B.V NO.AXXILySCCzKGxVW0/ID.6698991"/>
        <s v="VIREMENT SEPA RECU YCI7 05097Booking.com B.V./REMI/NO.WBe5bocr2i2064740370NO.WBe5bocr2ipc8Uyh/ID.12167482/ISD"/>
        <s v="VIREMENT SEPA RECU YCI7 02858Booking.com B.V./REMI/NO.qJop1fUwHm2114788585NO.qJop1fUwHmXCTEqz/ID.10725315/ISD"/>
        <s v="VIREMENT SEPA RECU YCI0 02858Booking.com B.V./REMI/NO.GGbzVNRgL62024739099NO.GGbzVNRgL6TIxfCu/ID.13729996/ISD"/>
        <s v="VIREMENT SEPA RECU YCI6 02856Booking.com B.V./REMI/NO.67i1Ti8Uo22094291718NO.67i1Ti8Uo2wkwXNf/ID.3788716/ISDT"/>
        <s v="VIREMENT SEPA RECU YCI4 02856Booking.com B.V./REMI/NO.K82EYXVAfO2144759191NO.K82EYXVAfOZ0AJ1R/ID.11120021/ISD"/>
        <s v="VIREMENT SEPA RECU YCI1 02856Booking.com B.V./REMI/NO.JtOQKcQ8lJ2114787517NO.JtOQKcQ8lJy7HFy8/ID.10047431/ISD"/>
        <s v="VIREMENT SEPA RECU YCI2 02855Booking.com B.V./REMI/NO.MWpO06p9Fy2024730657NO.MWpO06p9FyrWWWpk/ID.8891011/ISDT"/>
        <s v="VIREMENT SEPA RECU YCI1 02855Booking.com B.V./REMI/NO.c86v63fsr62064732662NO.c86v63fsr6NJypNj/ID.5428307/ISDT"/>
        <s v="VIREMENT SEPA RECU YCI2 02854Booking.com B.V./REMI/NO.ShzRpz7VAO2024730653NO.ShzRpz7VAO9rTGik/ID.8890731/ISDT"/>
        <s v="VIREMENT SEPA RECU YCI9 02853Booking.com B.V./REMI/NO.txGJa81mFb2114787082NO.txGJa81mFbPrxSlC/ID.8932967/ISDT"/>
        <s v="VIREMENT SEPA RECU YCI9 02852Booking.com B.V./REMI/NO.MZdM80GpCc2114786803NO.MZdM80GpCcBFfgug/ID.8912175/ISDT"/>
        <s v="VIREMENT SEPA RECU YCI8 02851Booking.com B.V./REMI/NO.RI1DEGYjdM2034711658NO.RI1DEGYjdMbo5qXZ/ID.9315439/ISDT"/>
        <s v="VIREMENT SEPA RECU YCI4 02851Booking.com B.V./REMI/NO.1bfBPRAfjs2105044022NO.1bfBPRAfjsg6B4yx/ID.8630313/ISDT"/>
        <s v="VIREMENT SEPA RECU YCI1 02851Booking.com B.V./REMI/NO.oPyULTKjjd2024730662NO.oPyULTKjjdKhO5DK/ID.8891875/ISDT"/>
        <s v="VIREMENT SEPA RECU YCI2 02849Booking.com B.V./REMI/NO.GMZLxWqUqr2134678626NO.GMZLxWqUqr3poLEO/ID.10834518/ISD"/>
        <s v="VIREMENT SEPA RECU YCI1 02846Booking.com B.V./REMI/NO.zBeLhR5mst2016475957NO.zBeLhR5mstl5T50m/ID.9698873/ISDT"/>
        <s v="VIREMENT SEPA RECU YCI8 02845Booking.com B.V./REMI/NO.dfGtG315j52124764720NO.dfGtG315j5gYgKw2/ID.9743490/ISDT"/>
        <s v="VIREMENT SEPA RECU YCI3 02845Booking.com B.V./REMI/NO.t5M2mi2iwh2004649991NO.t5M2mi2iwhW7QGha/ID.12621239/ISD"/>
        <s v="VIREMENT SEPA RECU YCI2 02845Booking.com B.V./REMI/NO.KjwnnkTAgg2094285830NO.KjwnnkTAgg9LPR1l/ID.6279727/ISDT"/>
        <s v="VIREMENT SEPA RECU YCI4 02844Booking.com B.V./REMI/NO.m93RvfCOlv2114779906NO.m93RvfCOlvtvxO2o/ID.10290113/ISD"/>
        <s v="VIREMENT SEPA RECU YCI2 02844Booking.com B.V./REMI/NO.TlY8TG3fRQ2194931004NO.TlY8TG3fRQmwkCim/ID.9281073/ISDT"/>
        <s v="VIREMENT SEPA RECU YCI9 02843Booking.com B.V./REMI/NO.4eIQiEkbf12194931015NO.4eIQiEkbf1vnAfBR/ID.9283805/ISDT"/>
        <s v="VIREMENT SEPA RECU YCI6 02824Booking.com B.V./REMI/NO.Q6hmUhysYT2094296039NO.Q6hmUhysYTZ5Fc8d/ID.8936250/ISDT"/>
        <s v="VIREMENT SEPA RECU YCI1 02823Booking.com B.V./REMI/NO.IOpH3Rwl1v2124773657NO.IOpH3Rwl1viy1X0w/ID.9283763/ISDT"/>
        <s v="VIREMENT SEPA RECU YCI8 02821Booking.com B.V./REMI/NO.cqfhEzG6PY2144759193NO.cqfhEzG6PYYDSR8U/ID.11120381/ISD"/>
        <s v="VIREMENT SEPA RECU YCI3 02821Booking.com B.V./REMI/NO.Qv3mcQT5kW2194930563NO.Qv3mcQT5kWDLvbCK/ID.8888141/ISDT"/>
        <s v="VIREMENT SEPA RECU YCI2 02821Booking.com B.V./REMI/NO.BO957bh4j62024733392NO.BO957bh4j6bxnDvo/ID.9416623/ISDT"/>
        <s v="VIREMENT SEPA RECU YCI2 02819Booking.com B.V./REMI/NO.7cm1yKQ9P32054514639NO.7cm1yKQ9P3ZAaVvE/ID.12621277/ISD"/>
        <s v="VIREMENT SEPA RECU YCI1 02819Booking.com B.V./REMI/NO.Ev6CKAo5EJ2024730738NO.Ev6CKAo5EJw5QlaJ/ID.9821659/ISDT"/>
        <s v="VIREMENT SEPA RECU YCI6 02818Booking.com B.V./REMI/NO.pX4j0eGwru2034699757NO.pX4j0eGwrul29eK2/ID.3788797/ISDT"/>
        <s v="VIREMENT SEPA RECU YCI4 02818Booking.com B.V./REMI/NO.wAsFvEBTFs2044511800NO.wAsFvEBTFsRy9YY1/ID.8668004/ISDT"/>
        <s v="VIREMENT SEPA RECU YCI2 02818Booking.com B.V./REMI/NO.o1zMYso6Xi2075077539NO.o1zMYso6XiZKMZoU/ID.10811114/ISD"/>
        <s v="VIREMENT SEPA RECU YCI0 02818Booking.com B.V./REMI/NO.Vdsx7D1dPe2004649441NO.Vdsx7D1dPe0k34I7/ID.11046773/ISD"/>
        <s v="VIREMENT SEPA RECU YCI9 02817Booking.com B.V./REMI/NO.S61RQCUa4h2064738185NO.S61RQCUa4h4RlBBs/ID.10209443/ISD"/>
        <s v="VIREMENT SEPA RECU YCI8 02817Booking.com B.V./REMI/NO.OlDSJiWbKs2094291719NO.OlDSJiWbKsgLgPrJ/ID.3788752/ISDT"/>
        <s v="VIREMENT SEPA RECU YCI1 02817Booking.com B.V./REMI/NO.TpIVHt3bcA2105044351NO.TpIVHt3bcAxfjrqL/ID.10013077/ISD"/>
        <s v="VIREMENT SEPA RECU YCI8 02816Booking.com B.V./REMI/NO.Lhy5iqDtw42016475956NO.Lhy5iqDtw4kN1Ci2/ID.9698836/ISDT"/>
        <s v="VIREMENT SEPA RECU YCI6 02816Booking.com B.V./REMI/NO.dNBFPpLhl02094285724NO.dNBFPpLhl0Dvgere/ID.4605178/ISDT"/>
        <s v="VIREMENT SEPA RECU YCI4 02816Booking.com B.V./REMI/NO.Y0Vksl92o62094286545NO.Y0Vksl92o6AO9oys/ID.9592592/ISDT"/>
        <s v="VIREMENT SEPA RECU YCI5 02816Booking.com B.V./REMI/NO.nBdkMr5X6c2016477107NO.nBdkMr5X6cjKYpPL/ID.12486053/ISD"/>
        <s v="VIREMENT SEPA RECU YCI1 02816Booking.com B.V./REMI/NO.nz1dtv3kfs2016475757NO.nz1dtv3kfsJZ6JyX/ID.8932411/ISDT"/>
        <s v="VIREMENT SEPA RECU YCI9 02815Booking.com B.V./REMI/NO.8eidzU9Ies2184512773NO.8eidzU9Ies3JKeJb/ID.10668724/ISD"/>
        <s v="VIREMENT SEPA RECU YCI8 02815Booking.com B.V./REMI/NO.wSu4OBMUft2004648917NO.wSu4OBMUftG1gBQ4/ID.9626274/ISDT"/>
        <s v="VIREMENT SEPA RECU YCI5 02815Booking.com B.V./REMI/NO.1oNx0Q7FpS2144757861NO.1oNx0Q7FpSAh3xW0/ID.5042200/ISDT"/>
        <s v="VIREMENT SEPA RECU YCI3 02815Booking.com B.V./REMI/NO.NTqHweEk2R2184511695NO.NTqHweEk2R6Zxt2A/ID.8935631/ISDT"/>
        <s v="VIREMENT SEPA RECU YCI2 02815Booking.com B.V./REMI/NO.T6On5VimAc2016475769NO.T6On5VimAcQX6eZG/ID.8935415/ISDT"/>
        <s v="VIREMENT DE Booking.com B.V. 2094291716 NO.tGWxGnSo0Xcp25T2/ID.3788679 REFERENCE : 0189030600000300"/>
        <m/>
      </sharedItems>
    </cacheField>
    <cacheField name="Rèf pièce" numFmtId="0">
      <sharedItems containsString="0" containsBlank="1">
        <m/>
      </sharedItems>
    </cacheField>
    <cacheField name="Débit" numFmtId="0">
      <sharedItems containsString="0" containsBlank="1">
        <m/>
      </sharedItems>
    </cacheField>
    <cacheField name="Let." numFmtId="0">
      <sharedItems containsString="0" containsBlank="1">
        <m/>
      </sharedItems>
    </cacheField>
    <cacheField name="Crédit">
      <sharedItems containsBlank="1" containsMixedTypes="1" containsNumber="1">
        <s v="2 437,47 €"/>
        <s v="2 484,71 €"/>
        <s v="1 468,80 €"/>
        <n v="888.0"/>
        <n v="607.99"/>
        <n v="492.05"/>
        <n v="739.54"/>
        <s v="1 310,40 €"/>
        <n v="396.73"/>
        <n v="506.63"/>
        <n v="412.32"/>
        <s v="1 181,52 €"/>
        <s v="1 056,40 €"/>
        <s v="1 697,93 €"/>
        <s v="4 148,43 €"/>
        <n v="655.53"/>
        <s v="2 841,30 €"/>
        <s v="3 186,90 €"/>
        <s v="4 101,30 €"/>
        <s v="3 516,31 €"/>
        <s v="3 365,18 €"/>
        <s v="2 378,70 €"/>
        <s v="1 546,20 €"/>
        <s v="2 043,02 €"/>
        <n v="853.5"/>
        <s v="1 053,86 €"/>
        <s v="5 890,63 €"/>
        <s v="1 522,66 €"/>
        <s v="1 671,90 €"/>
        <s v="2 458,04 €"/>
        <s v="1 701,90 €"/>
        <s v="1 597,32 €"/>
        <s v="1 842,18 €"/>
        <s v="2 823,30 €"/>
        <s v="2 244,68 €"/>
        <n v="504.0"/>
        <s v="2 154,73 €"/>
        <n v="863.1"/>
        <n v="922.5"/>
        <s v="1 019,35 €"/>
        <s v="1 861,20 €"/>
        <s v="1 419,64 €"/>
        <s v="1 673,23 €"/>
        <s v="1 336,50 €"/>
        <s v="2 153,70 €"/>
        <s v="3 683,75 €"/>
        <s v="4 399,72 €"/>
        <n v="597.84"/>
        <n v="502.74"/>
        <m/>
      </sharedItems>
    </cacheField>
    <cacheField name="Solde" numFmtId="0">
      <sharedItems containsBlank="1">
        <s v="-2 437,47 €"/>
        <s v="-4 922,18 €"/>
        <s v="-6 390,98 €"/>
        <s v="-7 278,98 €"/>
        <s v="-7 886,97 €"/>
        <s v="-8 379,02 €"/>
        <s v="-9 118,56 €"/>
        <s v="-10 428,96 €"/>
        <s v="-10 825,69 €"/>
        <s v="-11 332,32 €"/>
        <s v="-11 744,64 €"/>
        <s v="-12 926,16 €"/>
        <s v="-13 982,56 €"/>
        <s v="-15 680,49 €"/>
        <s v="-19 828,92 €"/>
        <s v="-20 484,45 €"/>
        <s v="-23 325,75 €"/>
        <s v="-26 512,65 €"/>
        <s v="-30 613,95 €"/>
        <s v="-34 130,26 €"/>
        <s v="-37 495,44 €"/>
        <s v="-39 874,14 €"/>
        <s v="-41 420,34 €"/>
        <s v="-43 463,36 €"/>
        <s v="-44 316,86 €"/>
        <s v="-45 370,72 €"/>
        <s v="-51 261,35 €"/>
        <s v="-52 784,01 €"/>
        <s v="-54 455,91 €"/>
        <s v="-56 913,95 €"/>
        <s v="-58 615,85 €"/>
        <s v="-60 213,17 €"/>
        <s v="-62 055,35 €"/>
        <s v="-64 878,65 €"/>
        <s v="-67 123,33 €"/>
        <s v="-67 627,33 €"/>
        <s v="-69 782,06 €"/>
        <s v="-70 645,16 €"/>
        <s v="-71 567,66 €"/>
        <s v="-72 587,01 €"/>
        <s v="-74 448,21 €"/>
        <s v="-75 867,85 €"/>
        <s v="-77 541,08 €"/>
        <s v="-78 877,58 €"/>
        <s v="-81 031,28 €"/>
        <s v="-84 715,03 €"/>
        <s v="-89 114,75 €"/>
        <s v="-89 712,59 €"/>
        <s v="-90 215,33 €"/>
        <m/>
      </sharedItems>
    </cacheField>
    <cacheField name="Statut" numFmtId="0">
      <sharedItems containsBlank="1">
        <s v="Importe"/>
        <s v="Pas Encore"/>
        <m/>
      </sharedItems>
    </cacheField>
    <cacheField name="Numéro Appartement" numFmtId="0">
      <sharedItems containsBlank="1">
        <s v="6698916"/>
        <s v="6698991"/>
        <s v="12167482"/>
        <s v="10725315"/>
        <s v="13729996"/>
        <s v="3788716"/>
        <s v="11120021"/>
        <s v="10047431"/>
        <s v="8891011"/>
        <s v="5428307"/>
        <s v="8890731"/>
        <s v="8932967"/>
        <s v="8912175"/>
        <s v="9315439"/>
        <s v="8630313"/>
        <s v="8891875"/>
        <s v="10834518"/>
        <s v="9698873"/>
        <s v="9743490"/>
        <s v="12621239"/>
        <s v="6279727"/>
        <s v="10290113"/>
        <s v="9281073"/>
        <s v="9283805"/>
        <s v="8936250"/>
        <s v="9283763"/>
        <s v="11120381"/>
        <s v="8888141"/>
        <s v="9416623"/>
        <s v="12621277"/>
        <s v="9821659"/>
        <s v="3788797"/>
        <s v="8668004"/>
        <s v="10811114"/>
        <s v="11046773"/>
        <s v="10209443"/>
        <s v="3788752"/>
        <s v="10013077"/>
        <s v="9698836"/>
        <s v="4605178"/>
        <s v="9592592"/>
        <s v="12486053"/>
        <s v="8932411"/>
        <s v="10668724"/>
        <s v="9626274"/>
        <s v="5042200"/>
        <s v="8935631"/>
        <s v="8935415"/>
        <s v="3788679"/>
        <s v="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trice de vérification" cacheId="0" dataCaption="" compact="0" compactData="0">
  <location ref="A2:C54" firstHeaderRow="0" firstDataRow="2" firstDataCol="0"/>
  <pivotFields>
    <pivotField name="ID APPARTEMENT" axis="axisRow" compact="0" numFmtId="4" outline="0" multipleItemSelectionAllowed="1" showAll="0" sortType="ascending">
      <items>
        <item x="50"/>
        <item x="49"/>
        <item x="37"/>
        <item x="7"/>
        <item x="35"/>
        <item x="21"/>
        <item x="43"/>
        <item x="3"/>
        <item x="33"/>
        <item x="16"/>
        <item x="34"/>
        <item x="6"/>
        <item x="26"/>
        <item x="2"/>
        <item x="41"/>
        <item x="19"/>
        <item x="29"/>
        <item x="4"/>
        <item x="48"/>
        <item x="5"/>
        <item x="36"/>
        <item x="31"/>
        <item x="39"/>
        <item x="45"/>
        <item x="9"/>
        <item x="20"/>
        <item x="0"/>
        <item x="1"/>
        <item x="14"/>
        <item x="32"/>
        <item x="27"/>
        <item x="10"/>
        <item x="8"/>
        <item x="15"/>
        <item x="12"/>
        <item x="42"/>
        <item x="11"/>
        <item x="47"/>
        <item x="46"/>
        <item x="24"/>
        <item x="22"/>
        <item x="25"/>
        <item x="23"/>
        <item x="13"/>
        <item x="28"/>
        <item x="40"/>
        <item x="44"/>
        <item x="38"/>
        <item x="17"/>
        <item x="18"/>
        <item x="30"/>
        <item t="default"/>
      </items>
    </pivotField>
    <pivotField name="Compte" compact="0" outline="0" multipleItemSelectionAllowed="1" showAll="0">
      <items>
        <item x="0"/>
        <item x="1"/>
        <item t="default"/>
      </items>
    </pivotField>
    <pivotField name="Intitulé" compact="0" outline="0" multipleItemSelectionAllowed="1" showAll="0">
      <items>
        <item x="0"/>
        <item x="1"/>
        <item t="default"/>
      </items>
    </pivotField>
    <pivotField name="Date" compact="0" numFmtId="165" outline="0" multipleItemSelectionAllowed="1" showAll="0">
      <items>
        <item x="0"/>
        <item x="1"/>
        <item t="default"/>
      </items>
    </pivotField>
    <pivotField name="Journal" compact="0" outline="0" multipleItemSelectionAllowed="1" showAll="0">
      <items>
        <item x="0"/>
        <item x="1"/>
        <item x="2"/>
        <item x="3"/>
        <item t="default"/>
      </items>
    </pivotField>
    <pivotField name="Libell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Rèf pièce" compact="0" outline="0" multipleItemSelectionAllowed="1" showAll="0">
      <items>
        <item x="0"/>
        <item t="default"/>
      </items>
    </pivotField>
    <pivotField name="Débit" dataField="1" compact="0" outline="0" multipleItemSelectionAllowed="1" showAll="0">
      <items>
        <item x="0"/>
        <item t="default"/>
      </items>
    </pivotField>
    <pivotField name="Let." compact="0" outline="0" multipleItemSelectionAllowed="1" showAll="0">
      <items>
        <item x="0"/>
        <item t="default"/>
      </items>
    </pivotField>
    <pivotField name="Créd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ol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t" compact="0" outline="0" multipleItemSelectionAllowed="1" showAll="0">
      <items>
        <item x="0"/>
        <item x="1"/>
        <item x="2"/>
        <item t="default"/>
      </items>
    </pivotField>
    <pivotField name="Numéro Appart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0"/>
  </rowFields>
  <colFields>
    <field x="-2"/>
  </colFields>
  <dataFields>
    <dataField name="SUM of Débit" fld="7" baseField="0"/>
    <dataField name="SUM of Crédit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5" width="7.38"/>
    <col customWidth="1" min="6" max="6" width="6.63"/>
    <col customWidth="1" min="7" max="7" width="7.63"/>
    <col customWidth="1" min="9" max="9" width="5.38"/>
    <col customWidth="1" min="10" max="10" width="19.0"/>
    <col customWidth="1" min="11" max="11" width="20.13"/>
    <col customWidth="1" min="12" max="13" width="28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O1" s="8"/>
    </row>
    <row r="2">
      <c r="A2" s="9" t="str">
        <f t="shared" ref="A2:A139" si="1">M2</f>
        <v>6698916</v>
      </c>
      <c r="B2" s="10">
        <v>5.1105E11</v>
      </c>
      <c r="C2" s="11" t="s">
        <v>13</v>
      </c>
      <c r="D2" s="12">
        <v>46052.0</v>
      </c>
      <c r="E2" s="11" t="s">
        <v>14</v>
      </c>
      <c r="F2" s="11" t="s">
        <v>15</v>
      </c>
      <c r="G2" s="13"/>
      <c r="H2" s="13"/>
      <c r="I2" s="14"/>
      <c r="J2" s="13" t="s">
        <v>16</v>
      </c>
      <c r="K2" s="15" t="s">
        <v>17</v>
      </c>
      <c r="L2" s="16" t="s">
        <v>18</v>
      </c>
      <c r="M2" s="17" t="str">
        <f t="shared" ref="M2:M3" si="2">IF(E2="BQ10", LEFT(RIGHT(F2,12),7),"")&amp;IF(E2="BQ5", LEFT(RIGHT(F2,36),7),"")&amp;IF(E2="BQ3", LEFT(RIGHT(F2,7),7),"")</f>
        <v>6698916</v>
      </c>
    </row>
    <row r="3">
      <c r="A3" s="9" t="str">
        <f t="shared" si="1"/>
        <v>6698991</v>
      </c>
      <c r="B3" s="10">
        <v>5.1105E11</v>
      </c>
      <c r="C3" s="11" t="s">
        <v>13</v>
      </c>
      <c r="D3" s="12">
        <v>46052.0</v>
      </c>
      <c r="E3" s="11" t="s">
        <v>14</v>
      </c>
      <c r="F3" s="11" t="s">
        <v>19</v>
      </c>
      <c r="G3" s="13"/>
      <c r="H3" s="13"/>
      <c r="I3" s="14"/>
      <c r="J3" s="13" t="s">
        <v>20</v>
      </c>
      <c r="K3" s="15" t="s">
        <v>21</v>
      </c>
      <c r="L3" s="16" t="s">
        <v>18</v>
      </c>
      <c r="M3" s="17" t="str">
        <f t="shared" si="2"/>
        <v>6698991</v>
      </c>
    </row>
    <row r="4">
      <c r="A4" s="9" t="str">
        <f t="shared" si="1"/>
        <v>12167482</v>
      </c>
      <c r="B4" s="10">
        <v>5.1105E11</v>
      </c>
      <c r="C4" s="11" t="s">
        <v>13</v>
      </c>
      <c r="D4" s="12">
        <v>46052.0</v>
      </c>
      <c r="E4" s="11" t="s">
        <v>22</v>
      </c>
      <c r="F4" s="11" t="s">
        <v>23</v>
      </c>
      <c r="G4" s="13"/>
      <c r="H4" s="13"/>
      <c r="I4" s="14"/>
      <c r="J4" s="13" t="s">
        <v>24</v>
      </c>
      <c r="K4" s="15" t="s">
        <v>25</v>
      </c>
      <c r="L4" s="16" t="s">
        <v>18</v>
      </c>
      <c r="M4" s="17" t="str">
        <f t="shared" ref="M4:M6" si="3">IF(E4="BQ10", LEFT(RIGHT(F4,12),8),"")&amp;IF(E4="BQ5", LEFT(RIGHT(F4,36),7),"")&amp;IF(E4="BQ3", LEFT(RIGHT(F4,7),7),"")</f>
        <v>12167482</v>
      </c>
    </row>
    <row r="5">
      <c r="A5" s="9" t="str">
        <f t="shared" si="1"/>
        <v>10725315</v>
      </c>
      <c r="B5" s="10">
        <v>5.1105E11</v>
      </c>
      <c r="C5" s="11" t="s">
        <v>13</v>
      </c>
      <c r="D5" s="12">
        <v>46052.0</v>
      </c>
      <c r="E5" s="11" t="s">
        <v>22</v>
      </c>
      <c r="F5" s="11" t="s">
        <v>26</v>
      </c>
      <c r="G5" s="13"/>
      <c r="H5" s="13"/>
      <c r="I5" s="14"/>
      <c r="J5" s="18">
        <v>888.0</v>
      </c>
      <c r="K5" s="15" t="s">
        <v>27</v>
      </c>
      <c r="L5" s="16" t="s">
        <v>18</v>
      </c>
      <c r="M5" s="17" t="str">
        <f t="shared" si="3"/>
        <v>10725315</v>
      </c>
    </row>
    <row r="6">
      <c r="A6" s="9" t="str">
        <f t="shared" si="1"/>
        <v>13729996</v>
      </c>
      <c r="B6" s="10">
        <v>5.1105E11</v>
      </c>
      <c r="C6" s="11" t="s">
        <v>13</v>
      </c>
      <c r="D6" s="12">
        <v>46052.0</v>
      </c>
      <c r="E6" s="11" t="s">
        <v>22</v>
      </c>
      <c r="F6" s="11" t="s">
        <v>28</v>
      </c>
      <c r="G6" s="19"/>
      <c r="H6" s="19"/>
      <c r="I6" s="20"/>
      <c r="J6" s="21">
        <v>607.99</v>
      </c>
      <c r="K6" s="22" t="s">
        <v>29</v>
      </c>
      <c r="L6" s="16" t="s">
        <v>18</v>
      </c>
      <c r="M6" s="17" t="str">
        <f t="shared" si="3"/>
        <v>13729996</v>
      </c>
      <c r="O6" s="8"/>
    </row>
    <row r="7">
      <c r="A7" s="9" t="str">
        <f t="shared" si="1"/>
        <v>3788716</v>
      </c>
      <c r="B7" s="10">
        <v>5.1105E11</v>
      </c>
      <c r="C7" s="11" t="s">
        <v>13</v>
      </c>
      <c r="D7" s="12">
        <v>46052.0</v>
      </c>
      <c r="E7" s="11" t="s">
        <v>22</v>
      </c>
      <c r="F7" s="11" t="s">
        <v>30</v>
      </c>
      <c r="G7" s="19"/>
      <c r="H7" s="19"/>
      <c r="I7" s="20"/>
      <c r="J7" s="21">
        <v>492.05</v>
      </c>
      <c r="K7" s="22" t="s">
        <v>31</v>
      </c>
      <c r="L7" s="16" t="s">
        <v>18</v>
      </c>
      <c r="M7" s="17" t="str">
        <f>IF(E7="BQ10", LEFT(RIGHT(F7,12),7),"")&amp;IF(E7="BQ5", LEFT(RIGHT(F7,36),7),"")&amp;IF(E7="BQ3", LEFT(RIGHT(F7,7),7),"")</f>
        <v>3788716</v>
      </c>
      <c r="O7" s="8"/>
    </row>
    <row r="8">
      <c r="A8" s="9" t="str">
        <f t="shared" si="1"/>
        <v>11120021</v>
      </c>
      <c r="B8" s="10">
        <v>5.1105E11</v>
      </c>
      <c r="C8" s="11" t="s">
        <v>13</v>
      </c>
      <c r="D8" s="12">
        <v>46052.0</v>
      </c>
      <c r="E8" s="11" t="s">
        <v>22</v>
      </c>
      <c r="F8" s="11" t="s">
        <v>32</v>
      </c>
      <c r="G8" s="19"/>
      <c r="H8" s="19"/>
      <c r="I8" s="20"/>
      <c r="J8" s="21">
        <v>739.54</v>
      </c>
      <c r="K8" s="22" t="s">
        <v>33</v>
      </c>
      <c r="L8" s="16" t="s">
        <v>18</v>
      </c>
      <c r="M8" s="17" t="str">
        <f t="shared" ref="M8:M9" si="4">IF(E8="BQ10", LEFT(RIGHT(F8,12),8),"")&amp;IF(E8="BQ5", LEFT(RIGHT(F8,36),7),"")&amp;IF(E8="BQ3", LEFT(RIGHT(F8,7),7),"")</f>
        <v>11120021</v>
      </c>
      <c r="O8" s="8"/>
    </row>
    <row r="9">
      <c r="A9" s="9" t="str">
        <f t="shared" si="1"/>
        <v>10047431</v>
      </c>
      <c r="B9" s="10">
        <v>5.1105E11</v>
      </c>
      <c r="C9" s="11" t="s">
        <v>13</v>
      </c>
      <c r="D9" s="12">
        <v>46052.0</v>
      </c>
      <c r="E9" s="11" t="s">
        <v>22</v>
      </c>
      <c r="F9" s="11" t="s">
        <v>34</v>
      </c>
      <c r="G9" s="19"/>
      <c r="H9" s="19"/>
      <c r="I9" s="20"/>
      <c r="J9" s="21" t="s">
        <v>35</v>
      </c>
      <c r="K9" s="22" t="s">
        <v>36</v>
      </c>
      <c r="L9" s="16" t="s">
        <v>18</v>
      </c>
      <c r="M9" s="17" t="str">
        <f t="shared" si="4"/>
        <v>10047431</v>
      </c>
      <c r="O9" s="23"/>
    </row>
    <row r="10">
      <c r="A10" s="9" t="str">
        <f t="shared" si="1"/>
        <v>8891011</v>
      </c>
      <c r="B10" s="10">
        <v>5.1105E11</v>
      </c>
      <c r="C10" s="11" t="s">
        <v>13</v>
      </c>
      <c r="D10" s="12">
        <v>46052.0</v>
      </c>
      <c r="E10" s="11" t="s">
        <v>22</v>
      </c>
      <c r="F10" s="11" t="s">
        <v>37</v>
      </c>
      <c r="G10" s="19"/>
      <c r="H10" s="19"/>
      <c r="I10" s="20"/>
      <c r="J10" s="21">
        <v>396.73</v>
      </c>
      <c r="K10" s="22" t="s">
        <v>38</v>
      </c>
      <c r="L10" s="16" t="s">
        <v>18</v>
      </c>
      <c r="M10" s="17" t="str">
        <f t="shared" ref="M10:M17" si="5">IF(E10="BQ10", LEFT(RIGHT(F10,12),7),"")&amp;IF(E10="BQ5", LEFT(RIGHT(F10,36),7),"")&amp;IF(E10="BQ3", LEFT(RIGHT(F10,7),7),"")</f>
        <v>8891011</v>
      </c>
      <c r="O10" s="8"/>
    </row>
    <row r="11">
      <c r="A11" s="9" t="str">
        <f t="shared" si="1"/>
        <v>5428307</v>
      </c>
      <c r="B11" s="10">
        <v>5.1105E11</v>
      </c>
      <c r="C11" s="11" t="s">
        <v>13</v>
      </c>
      <c r="D11" s="12">
        <v>46052.0</v>
      </c>
      <c r="E11" s="11" t="s">
        <v>22</v>
      </c>
      <c r="F11" s="11" t="s">
        <v>39</v>
      </c>
      <c r="G11" s="19"/>
      <c r="H11" s="19"/>
      <c r="I11" s="20"/>
      <c r="J11" s="21">
        <v>506.63</v>
      </c>
      <c r="K11" s="22" t="s">
        <v>40</v>
      </c>
      <c r="L11" s="16" t="s">
        <v>18</v>
      </c>
      <c r="M11" s="17" t="str">
        <f t="shared" si="5"/>
        <v>5428307</v>
      </c>
      <c r="O11" s="8"/>
    </row>
    <row r="12">
      <c r="A12" s="9" t="str">
        <f t="shared" si="1"/>
        <v>8890731</v>
      </c>
      <c r="B12" s="10">
        <v>5.1105E11</v>
      </c>
      <c r="C12" s="11" t="s">
        <v>13</v>
      </c>
      <c r="D12" s="12">
        <v>46052.0</v>
      </c>
      <c r="E12" s="11" t="s">
        <v>22</v>
      </c>
      <c r="F12" s="11" t="s">
        <v>41</v>
      </c>
      <c r="G12" s="19"/>
      <c r="H12" s="19"/>
      <c r="I12" s="20"/>
      <c r="J12" s="21">
        <v>412.32</v>
      </c>
      <c r="K12" s="22" t="s">
        <v>42</v>
      </c>
      <c r="L12" s="16" t="s">
        <v>18</v>
      </c>
      <c r="M12" s="17" t="str">
        <f t="shared" si="5"/>
        <v>8890731</v>
      </c>
      <c r="O12" s="8"/>
    </row>
    <row r="13">
      <c r="A13" s="9" t="str">
        <f t="shared" si="1"/>
        <v>8932967</v>
      </c>
      <c r="B13" s="10">
        <v>5.1105E11</v>
      </c>
      <c r="C13" s="11" t="s">
        <v>13</v>
      </c>
      <c r="D13" s="12">
        <v>46052.0</v>
      </c>
      <c r="E13" s="11" t="s">
        <v>22</v>
      </c>
      <c r="F13" s="11" t="s">
        <v>43</v>
      </c>
      <c r="G13" s="19"/>
      <c r="H13" s="19"/>
      <c r="I13" s="20"/>
      <c r="J13" s="21" t="s">
        <v>44</v>
      </c>
      <c r="K13" s="22" t="s">
        <v>45</v>
      </c>
      <c r="L13" s="16" t="s">
        <v>18</v>
      </c>
      <c r="M13" s="17" t="str">
        <f t="shared" si="5"/>
        <v>8932967</v>
      </c>
      <c r="O13" s="8"/>
    </row>
    <row r="14">
      <c r="A14" s="9" t="str">
        <f t="shared" si="1"/>
        <v>8912175</v>
      </c>
      <c r="B14" s="10">
        <v>5.1105E11</v>
      </c>
      <c r="C14" s="11" t="s">
        <v>13</v>
      </c>
      <c r="D14" s="12">
        <v>46052.0</v>
      </c>
      <c r="E14" s="11" t="s">
        <v>22</v>
      </c>
      <c r="F14" s="11" t="s">
        <v>46</v>
      </c>
      <c r="G14" s="19"/>
      <c r="H14" s="19"/>
      <c r="I14" s="20"/>
      <c r="J14" s="21" t="s">
        <v>47</v>
      </c>
      <c r="K14" s="22" t="s">
        <v>48</v>
      </c>
      <c r="L14" s="16" t="s">
        <v>18</v>
      </c>
      <c r="M14" s="17" t="str">
        <f t="shared" si="5"/>
        <v>8912175</v>
      </c>
      <c r="O14" s="8"/>
    </row>
    <row r="15">
      <c r="A15" s="9" t="str">
        <f t="shared" si="1"/>
        <v>9315439</v>
      </c>
      <c r="B15" s="10">
        <v>5.1105E11</v>
      </c>
      <c r="C15" s="11" t="s">
        <v>13</v>
      </c>
      <c r="D15" s="12">
        <v>46052.0</v>
      </c>
      <c r="E15" s="11" t="s">
        <v>22</v>
      </c>
      <c r="F15" s="11" t="s">
        <v>49</v>
      </c>
      <c r="G15" s="19"/>
      <c r="H15" s="19"/>
      <c r="I15" s="20"/>
      <c r="J15" s="21" t="s">
        <v>50</v>
      </c>
      <c r="K15" s="22" t="s">
        <v>51</v>
      </c>
      <c r="L15" s="16" t="s">
        <v>18</v>
      </c>
      <c r="M15" s="17" t="str">
        <f t="shared" si="5"/>
        <v>9315439</v>
      </c>
      <c r="O15" s="8"/>
    </row>
    <row r="16">
      <c r="A16" s="9" t="str">
        <f t="shared" si="1"/>
        <v>8630313</v>
      </c>
      <c r="B16" s="10">
        <v>5.1105E11</v>
      </c>
      <c r="C16" s="11" t="s">
        <v>13</v>
      </c>
      <c r="D16" s="12">
        <v>46052.0</v>
      </c>
      <c r="E16" s="11" t="s">
        <v>22</v>
      </c>
      <c r="F16" s="11" t="s">
        <v>52</v>
      </c>
      <c r="G16" s="19"/>
      <c r="H16" s="19"/>
      <c r="I16" s="20"/>
      <c r="J16" s="21" t="s">
        <v>53</v>
      </c>
      <c r="K16" s="22" t="s">
        <v>54</v>
      </c>
      <c r="L16" s="16" t="s">
        <v>18</v>
      </c>
      <c r="M16" s="17" t="str">
        <f t="shared" si="5"/>
        <v>8630313</v>
      </c>
      <c r="O16" s="8"/>
    </row>
    <row r="17">
      <c r="A17" s="9" t="str">
        <f t="shared" si="1"/>
        <v>8891875</v>
      </c>
      <c r="B17" s="10">
        <v>5.1105E11</v>
      </c>
      <c r="C17" s="11" t="s">
        <v>13</v>
      </c>
      <c r="D17" s="12">
        <v>46052.0</v>
      </c>
      <c r="E17" s="11" t="s">
        <v>22</v>
      </c>
      <c r="F17" s="11" t="s">
        <v>55</v>
      </c>
      <c r="G17" s="19"/>
      <c r="H17" s="19"/>
      <c r="I17" s="20"/>
      <c r="J17" s="21">
        <v>655.53</v>
      </c>
      <c r="K17" s="22" t="s">
        <v>56</v>
      </c>
      <c r="L17" s="16" t="s">
        <v>18</v>
      </c>
      <c r="M17" s="17" t="str">
        <f t="shared" si="5"/>
        <v>8891875</v>
      </c>
      <c r="O17" s="8"/>
    </row>
    <row r="18">
      <c r="A18" s="9" t="str">
        <f t="shared" si="1"/>
        <v>10834518</v>
      </c>
      <c r="B18" s="10">
        <v>5.1105E11</v>
      </c>
      <c r="C18" s="11" t="s">
        <v>13</v>
      </c>
      <c r="D18" s="12">
        <v>46052.0</v>
      </c>
      <c r="E18" s="11" t="s">
        <v>22</v>
      </c>
      <c r="F18" s="11" t="s">
        <v>57</v>
      </c>
      <c r="G18" s="19"/>
      <c r="H18" s="19"/>
      <c r="I18" s="20"/>
      <c r="J18" s="21" t="s">
        <v>58</v>
      </c>
      <c r="K18" s="22" t="s">
        <v>59</v>
      </c>
      <c r="L18" s="16" t="s">
        <v>18</v>
      </c>
      <c r="M18" s="17" t="str">
        <f>IF(E18="BQ10", LEFT(RIGHT(F18,12),8),"")&amp;IF(E18="BQ5", LEFT(RIGHT(F18,36),7),"")&amp;IF(E18="BQ3", LEFT(RIGHT(F18,7),7),"")</f>
        <v>10834518</v>
      </c>
      <c r="O18" s="8"/>
    </row>
    <row r="19">
      <c r="A19" s="9" t="str">
        <f t="shared" si="1"/>
        <v>9698873</v>
      </c>
      <c r="B19" s="10">
        <v>5.1105E11</v>
      </c>
      <c r="C19" s="11" t="s">
        <v>13</v>
      </c>
      <c r="D19" s="12">
        <v>46052.0</v>
      </c>
      <c r="E19" s="11" t="s">
        <v>22</v>
      </c>
      <c r="F19" s="11" t="s">
        <v>60</v>
      </c>
      <c r="G19" s="19"/>
      <c r="H19" s="19"/>
      <c r="I19" s="20"/>
      <c r="J19" s="21" t="s">
        <v>61</v>
      </c>
      <c r="K19" s="22" t="s">
        <v>62</v>
      </c>
      <c r="L19" s="16" t="s">
        <v>18</v>
      </c>
      <c r="M19" s="17" t="str">
        <f t="shared" ref="M19:M20" si="6">IF(E19="BQ10", LEFT(RIGHT(F19,12),7),"")&amp;IF(E19="BQ5", LEFT(RIGHT(F19,36),7),"")&amp;IF(E19="BQ3", LEFT(RIGHT(F19,7),7),"")</f>
        <v>9698873</v>
      </c>
      <c r="O19" s="8"/>
    </row>
    <row r="20">
      <c r="A20" s="9" t="str">
        <f t="shared" si="1"/>
        <v>9743490</v>
      </c>
      <c r="B20" s="10">
        <v>5.1105E11</v>
      </c>
      <c r="C20" s="11" t="s">
        <v>13</v>
      </c>
      <c r="D20" s="12">
        <v>46052.0</v>
      </c>
      <c r="E20" s="11" t="s">
        <v>22</v>
      </c>
      <c r="F20" s="11" t="s">
        <v>63</v>
      </c>
      <c r="G20" s="19"/>
      <c r="H20" s="19"/>
      <c r="I20" s="20"/>
      <c r="J20" s="21" t="s">
        <v>64</v>
      </c>
      <c r="K20" s="22" t="s">
        <v>65</v>
      </c>
      <c r="L20" s="16" t="s">
        <v>18</v>
      </c>
      <c r="M20" s="17" t="str">
        <f t="shared" si="6"/>
        <v>9743490</v>
      </c>
      <c r="O20" s="8"/>
    </row>
    <row r="21">
      <c r="A21" s="9" t="str">
        <f t="shared" si="1"/>
        <v>12621239</v>
      </c>
      <c r="B21" s="10">
        <v>5.1105E11</v>
      </c>
      <c r="C21" s="11" t="s">
        <v>13</v>
      </c>
      <c r="D21" s="12">
        <v>46052.0</v>
      </c>
      <c r="E21" s="11" t="s">
        <v>22</v>
      </c>
      <c r="F21" s="11" t="s">
        <v>66</v>
      </c>
      <c r="G21" s="19"/>
      <c r="H21" s="19"/>
      <c r="I21" s="20"/>
      <c r="J21" s="21" t="s">
        <v>67</v>
      </c>
      <c r="K21" s="22" t="s">
        <v>68</v>
      </c>
      <c r="L21" s="16" t="s">
        <v>18</v>
      </c>
      <c r="M21" s="17" t="str">
        <f>IF(E21="BQ10", LEFT(RIGHT(F21,12),8),"")&amp;IF(E21="BQ5", LEFT(RIGHT(F21,36),7),"")&amp;IF(E21="BQ3", LEFT(RIGHT(F21,7),7),"")</f>
        <v>12621239</v>
      </c>
      <c r="O21" s="8"/>
    </row>
    <row r="22">
      <c r="A22" s="9" t="str">
        <f t="shared" si="1"/>
        <v>6279727</v>
      </c>
      <c r="B22" s="10">
        <v>5.1105E11</v>
      </c>
      <c r="C22" s="11" t="s">
        <v>13</v>
      </c>
      <c r="D22" s="12">
        <v>46052.0</v>
      </c>
      <c r="E22" s="11" t="s">
        <v>22</v>
      </c>
      <c r="F22" s="11" t="s">
        <v>69</v>
      </c>
      <c r="G22" s="19"/>
      <c r="H22" s="19"/>
      <c r="I22" s="20"/>
      <c r="J22" s="21" t="s">
        <v>70</v>
      </c>
      <c r="K22" s="22" t="s">
        <v>71</v>
      </c>
      <c r="L22" s="16" t="s">
        <v>18</v>
      </c>
      <c r="M22" s="17" t="str">
        <f>IF(E22="BQ10", LEFT(RIGHT(F22,12),7),"")&amp;IF(E22="BQ5", LEFT(RIGHT(F22,36),7),"")&amp;IF(E22="BQ3", LEFT(RIGHT(F22,7),7),"")</f>
        <v>6279727</v>
      </c>
      <c r="O22" s="8"/>
    </row>
    <row r="23">
      <c r="A23" s="9" t="str">
        <f t="shared" si="1"/>
        <v>10290113</v>
      </c>
      <c r="B23" s="10">
        <v>5.1105E11</v>
      </c>
      <c r="C23" s="11" t="s">
        <v>13</v>
      </c>
      <c r="D23" s="12">
        <v>46052.0</v>
      </c>
      <c r="E23" s="11" t="s">
        <v>22</v>
      </c>
      <c r="F23" s="11" t="s">
        <v>72</v>
      </c>
      <c r="G23" s="19"/>
      <c r="H23" s="19"/>
      <c r="I23" s="20"/>
      <c r="J23" s="21" t="s">
        <v>73</v>
      </c>
      <c r="K23" s="22" t="s">
        <v>74</v>
      </c>
      <c r="L23" s="16" t="s">
        <v>18</v>
      </c>
      <c r="M23" s="17" t="str">
        <f>IF(E23="BQ10", LEFT(RIGHT(F23,12),8),"")&amp;IF(E23="BQ5", LEFT(RIGHT(F23,36),7),"")&amp;IF(E23="BQ3", LEFT(RIGHT(F23,7),7),"")</f>
        <v>10290113</v>
      </c>
      <c r="O23" s="8"/>
    </row>
    <row r="24">
      <c r="A24" s="9" t="str">
        <f t="shared" si="1"/>
        <v>9281073</v>
      </c>
      <c r="B24" s="10">
        <v>5.1105E11</v>
      </c>
      <c r="C24" s="11" t="s">
        <v>13</v>
      </c>
      <c r="D24" s="12">
        <v>46052.0</v>
      </c>
      <c r="E24" s="11" t="s">
        <v>22</v>
      </c>
      <c r="F24" s="11" t="s">
        <v>75</v>
      </c>
      <c r="G24" s="19"/>
      <c r="H24" s="19"/>
      <c r="I24" s="20"/>
      <c r="J24" s="21" t="s">
        <v>76</v>
      </c>
      <c r="K24" s="22" t="s">
        <v>77</v>
      </c>
      <c r="L24" s="16" t="s">
        <v>18</v>
      </c>
      <c r="M24" s="17" t="str">
        <f t="shared" ref="M24:M27" si="7">IF(E24="BQ10", LEFT(RIGHT(F24,12),7),"")&amp;IF(E24="BQ5", LEFT(RIGHT(F24,36),7),"")&amp;IF(E24="BQ3", LEFT(RIGHT(F24,7),7),"")</f>
        <v>9281073</v>
      </c>
      <c r="O24" s="8"/>
    </row>
    <row r="25">
      <c r="A25" s="9" t="str">
        <f t="shared" si="1"/>
        <v>9283805</v>
      </c>
      <c r="B25" s="10">
        <v>5.1105E11</v>
      </c>
      <c r="C25" s="11" t="s">
        <v>13</v>
      </c>
      <c r="D25" s="12">
        <v>46052.0</v>
      </c>
      <c r="E25" s="11" t="s">
        <v>22</v>
      </c>
      <c r="F25" s="11" t="s">
        <v>78</v>
      </c>
      <c r="G25" s="19"/>
      <c r="H25" s="19"/>
      <c r="I25" s="20"/>
      <c r="J25" s="21" t="s">
        <v>79</v>
      </c>
      <c r="K25" s="22" t="s">
        <v>80</v>
      </c>
      <c r="L25" s="16" t="s">
        <v>18</v>
      </c>
      <c r="M25" s="17" t="str">
        <f t="shared" si="7"/>
        <v>9283805</v>
      </c>
      <c r="O25" s="8"/>
    </row>
    <row r="26">
      <c r="A26" s="9" t="str">
        <f t="shared" si="1"/>
        <v>8936250</v>
      </c>
      <c r="B26" s="10">
        <v>5.1105E11</v>
      </c>
      <c r="C26" s="11" t="s">
        <v>13</v>
      </c>
      <c r="D26" s="12">
        <v>46052.0</v>
      </c>
      <c r="E26" s="11" t="s">
        <v>22</v>
      </c>
      <c r="F26" s="11" t="s">
        <v>81</v>
      </c>
      <c r="G26" s="19"/>
      <c r="H26" s="19"/>
      <c r="I26" s="20"/>
      <c r="J26" s="21">
        <v>853.5</v>
      </c>
      <c r="K26" s="22" t="s">
        <v>82</v>
      </c>
      <c r="L26" s="16" t="s">
        <v>18</v>
      </c>
      <c r="M26" s="17" t="str">
        <f t="shared" si="7"/>
        <v>8936250</v>
      </c>
      <c r="O26" s="8"/>
    </row>
    <row r="27">
      <c r="A27" s="9" t="str">
        <f t="shared" si="1"/>
        <v>9283763</v>
      </c>
      <c r="B27" s="10">
        <v>5.1105E11</v>
      </c>
      <c r="C27" s="11" t="s">
        <v>13</v>
      </c>
      <c r="D27" s="12">
        <v>46052.0</v>
      </c>
      <c r="E27" s="11" t="s">
        <v>22</v>
      </c>
      <c r="F27" s="11" t="s">
        <v>83</v>
      </c>
      <c r="G27" s="19"/>
      <c r="H27" s="19"/>
      <c r="I27" s="20"/>
      <c r="J27" s="21" t="s">
        <v>84</v>
      </c>
      <c r="K27" s="22" t="s">
        <v>85</v>
      </c>
      <c r="L27" s="16" t="s">
        <v>18</v>
      </c>
      <c r="M27" s="17" t="str">
        <f t="shared" si="7"/>
        <v>9283763</v>
      </c>
      <c r="O27" s="8"/>
    </row>
    <row r="28">
      <c r="A28" s="9" t="str">
        <f t="shared" si="1"/>
        <v>11120381</v>
      </c>
      <c r="B28" s="10">
        <v>5.1105E11</v>
      </c>
      <c r="C28" s="11" t="s">
        <v>13</v>
      </c>
      <c r="D28" s="12">
        <v>46052.0</v>
      </c>
      <c r="E28" s="11" t="s">
        <v>22</v>
      </c>
      <c r="F28" s="11" t="s">
        <v>86</v>
      </c>
      <c r="G28" s="19"/>
      <c r="H28" s="19"/>
      <c r="I28" s="20"/>
      <c r="J28" s="21" t="s">
        <v>87</v>
      </c>
      <c r="K28" s="22" t="s">
        <v>88</v>
      </c>
      <c r="L28" s="16" t="s">
        <v>18</v>
      </c>
      <c r="M28" s="17" t="str">
        <f>IF(E28="BQ10", LEFT(RIGHT(F28,12),8),"")&amp;IF(E28="BQ5", LEFT(RIGHT(F28,36),7),"")&amp;IF(E28="BQ3", LEFT(RIGHT(F28,7),7),"")</f>
        <v>11120381</v>
      </c>
      <c r="O28" s="8"/>
    </row>
    <row r="29">
      <c r="A29" s="9" t="str">
        <f t="shared" si="1"/>
        <v>8888141</v>
      </c>
      <c r="B29" s="10">
        <v>5.1105E11</v>
      </c>
      <c r="C29" s="11" t="s">
        <v>13</v>
      </c>
      <c r="D29" s="12">
        <v>46052.0</v>
      </c>
      <c r="E29" s="11" t="s">
        <v>22</v>
      </c>
      <c r="F29" s="11" t="s">
        <v>89</v>
      </c>
      <c r="G29" s="19"/>
      <c r="H29" s="19"/>
      <c r="I29" s="20"/>
      <c r="J29" s="21" t="s">
        <v>90</v>
      </c>
      <c r="K29" s="22" t="s">
        <v>91</v>
      </c>
      <c r="L29" s="16" t="s">
        <v>18</v>
      </c>
      <c r="M29" s="17" t="str">
        <f t="shared" ref="M29:M30" si="8">IF(E29="BQ10", LEFT(RIGHT(F29,12),7),"")&amp;IF(E29="BQ5", LEFT(RIGHT(F29,36),7),"")&amp;IF(E29="BQ3", LEFT(RIGHT(F29,7),7),"")</f>
        <v>8888141</v>
      </c>
      <c r="O29" s="8"/>
    </row>
    <row r="30">
      <c r="A30" s="9" t="str">
        <f t="shared" si="1"/>
        <v>9416623</v>
      </c>
      <c r="B30" s="10">
        <v>5.1105E11</v>
      </c>
      <c r="C30" s="11" t="s">
        <v>13</v>
      </c>
      <c r="D30" s="12">
        <v>46052.0</v>
      </c>
      <c r="E30" s="11" t="s">
        <v>22</v>
      </c>
      <c r="F30" s="11" t="s">
        <v>92</v>
      </c>
      <c r="G30" s="19"/>
      <c r="H30" s="19"/>
      <c r="I30" s="20"/>
      <c r="J30" s="21" t="s">
        <v>93</v>
      </c>
      <c r="K30" s="22" t="s">
        <v>94</v>
      </c>
      <c r="L30" s="16" t="s">
        <v>18</v>
      </c>
      <c r="M30" s="17" t="str">
        <f t="shared" si="8"/>
        <v>9416623</v>
      </c>
      <c r="O30" s="8"/>
    </row>
    <row r="31">
      <c r="A31" s="9" t="str">
        <f t="shared" si="1"/>
        <v>12621277</v>
      </c>
      <c r="B31" s="10">
        <v>5.1105E11</v>
      </c>
      <c r="C31" s="11" t="s">
        <v>13</v>
      </c>
      <c r="D31" s="12">
        <v>46052.0</v>
      </c>
      <c r="E31" s="11" t="s">
        <v>22</v>
      </c>
      <c r="F31" s="11" t="s">
        <v>95</v>
      </c>
      <c r="G31" s="19"/>
      <c r="H31" s="19"/>
      <c r="I31" s="20"/>
      <c r="J31" s="21" t="s">
        <v>96</v>
      </c>
      <c r="K31" s="22" t="s">
        <v>97</v>
      </c>
      <c r="L31" s="16" t="s">
        <v>18</v>
      </c>
      <c r="M31" s="17" t="str">
        <f>IF(E31="BQ10", LEFT(RIGHT(F31,12),8),"")&amp;IF(E31="BQ5", LEFT(RIGHT(F31,36),7),"")&amp;IF(E31="BQ3", LEFT(RIGHT(F31,7),7),"")</f>
        <v>12621277</v>
      </c>
      <c r="O31" s="8"/>
    </row>
    <row r="32">
      <c r="A32" s="9" t="str">
        <f t="shared" si="1"/>
        <v>9821659</v>
      </c>
      <c r="B32" s="10">
        <v>5.1105E11</v>
      </c>
      <c r="C32" s="11" t="s">
        <v>13</v>
      </c>
      <c r="D32" s="12">
        <v>46052.0</v>
      </c>
      <c r="E32" s="11" t="s">
        <v>22</v>
      </c>
      <c r="F32" s="11" t="s">
        <v>98</v>
      </c>
      <c r="G32" s="19"/>
      <c r="H32" s="19"/>
      <c r="I32" s="20"/>
      <c r="J32" s="21" t="s">
        <v>99</v>
      </c>
      <c r="K32" s="22" t="s">
        <v>100</v>
      </c>
      <c r="L32" s="16" t="s">
        <v>18</v>
      </c>
      <c r="M32" s="17" t="str">
        <f t="shared" ref="M32:M34" si="9">IF(E32="BQ10", LEFT(RIGHT(F32,12),7),"")&amp;IF(E32="BQ5", LEFT(RIGHT(F32,36),7),"")&amp;IF(E32="BQ3", LEFT(RIGHT(F32,7),7),"")</f>
        <v>9821659</v>
      </c>
      <c r="O32" s="8"/>
    </row>
    <row r="33">
      <c r="A33" s="9" t="str">
        <f t="shared" si="1"/>
        <v>3788797</v>
      </c>
      <c r="B33" s="10">
        <v>5.1105E11</v>
      </c>
      <c r="C33" s="11" t="s">
        <v>13</v>
      </c>
      <c r="D33" s="12">
        <v>46052.0</v>
      </c>
      <c r="E33" s="11" t="s">
        <v>22</v>
      </c>
      <c r="F33" s="11" t="s">
        <v>101</v>
      </c>
      <c r="G33" s="19"/>
      <c r="H33" s="19"/>
      <c r="I33" s="20"/>
      <c r="J33" s="21" t="s">
        <v>102</v>
      </c>
      <c r="K33" s="22" t="s">
        <v>103</v>
      </c>
      <c r="L33" s="16" t="s">
        <v>18</v>
      </c>
      <c r="M33" s="17" t="str">
        <f t="shared" si="9"/>
        <v>3788797</v>
      </c>
      <c r="O33" s="8"/>
    </row>
    <row r="34">
      <c r="A34" s="9" t="str">
        <f t="shared" si="1"/>
        <v>8668004</v>
      </c>
      <c r="B34" s="10">
        <v>5.1105E11</v>
      </c>
      <c r="C34" s="11" t="s">
        <v>13</v>
      </c>
      <c r="D34" s="12">
        <v>46052.0</v>
      </c>
      <c r="E34" s="11" t="s">
        <v>22</v>
      </c>
      <c r="F34" s="11" t="s">
        <v>104</v>
      </c>
      <c r="G34" s="19"/>
      <c r="H34" s="19"/>
      <c r="I34" s="20"/>
      <c r="J34" s="21" t="s">
        <v>105</v>
      </c>
      <c r="K34" s="22" t="s">
        <v>106</v>
      </c>
      <c r="L34" s="16" t="s">
        <v>18</v>
      </c>
      <c r="M34" s="17" t="str">
        <f t="shared" si="9"/>
        <v>8668004</v>
      </c>
      <c r="O34" s="8"/>
    </row>
    <row r="35">
      <c r="A35" s="9" t="str">
        <f t="shared" si="1"/>
        <v>10811114</v>
      </c>
      <c r="B35" s="10">
        <v>5.1105E11</v>
      </c>
      <c r="C35" s="11" t="s">
        <v>13</v>
      </c>
      <c r="D35" s="12">
        <v>46052.0</v>
      </c>
      <c r="E35" s="11" t="s">
        <v>22</v>
      </c>
      <c r="F35" s="11" t="s">
        <v>107</v>
      </c>
      <c r="G35" s="19"/>
      <c r="H35" s="19"/>
      <c r="I35" s="20"/>
      <c r="J35" s="21" t="s">
        <v>108</v>
      </c>
      <c r="K35" s="22" t="s">
        <v>109</v>
      </c>
      <c r="L35" s="16" t="s">
        <v>18</v>
      </c>
      <c r="M35" s="17" t="str">
        <f t="shared" ref="M35:M37" si="10">IF(E35="BQ10", LEFT(RIGHT(F35,12),8),"")&amp;IF(E35="BQ5", LEFT(RIGHT(F35,36),7),"")&amp;IF(E35="BQ3", LEFT(RIGHT(F35,7),7),"")</f>
        <v>10811114</v>
      </c>
      <c r="O35" s="8"/>
    </row>
    <row r="36">
      <c r="A36" s="9" t="str">
        <f t="shared" si="1"/>
        <v>11046773</v>
      </c>
      <c r="B36" s="10">
        <v>5.1105E11</v>
      </c>
      <c r="C36" s="11" t="s">
        <v>13</v>
      </c>
      <c r="D36" s="12">
        <v>46052.0</v>
      </c>
      <c r="E36" s="11" t="s">
        <v>22</v>
      </c>
      <c r="F36" s="11" t="s">
        <v>110</v>
      </c>
      <c r="G36" s="19"/>
      <c r="H36" s="19"/>
      <c r="I36" s="20"/>
      <c r="J36" s="21" t="s">
        <v>111</v>
      </c>
      <c r="K36" s="22" t="s">
        <v>112</v>
      </c>
      <c r="L36" s="16" t="s">
        <v>18</v>
      </c>
      <c r="M36" s="17" t="str">
        <f t="shared" si="10"/>
        <v>11046773</v>
      </c>
      <c r="O36" s="8"/>
    </row>
    <row r="37">
      <c r="A37" s="9" t="str">
        <f t="shared" si="1"/>
        <v>10209443</v>
      </c>
      <c r="B37" s="10">
        <v>5.1105E11</v>
      </c>
      <c r="C37" s="11" t="s">
        <v>13</v>
      </c>
      <c r="D37" s="12">
        <v>46052.0</v>
      </c>
      <c r="E37" s="11" t="s">
        <v>22</v>
      </c>
      <c r="F37" s="11" t="s">
        <v>113</v>
      </c>
      <c r="G37" s="19"/>
      <c r="H37" s="19"/>
      <c r="I37" s="20"/>
      <c r="J37" s="21">
        <v>504.0</v>
      </c>
      <c r="K37" s="22" t="s">
        <v>114</v>
      </c>
      <c r="L37" s="16" t="s">
        <v>18</v>
      </c>
      <c r="M37" s="17" t="str">
        <f t="shared" si="10"/>
        <v>10209443</v>
      </c>
      <c r="O37" s="8"/>
    </row>
    <row r="38">
      <c r="A38" s="9" t="str">
        <f t="shared" si="1"/>
        <v>3788752</v>
      </c>
      <c r="B38" s="10">
        <v>5.1105E11</v>
      </c>
      <c r="C38" s="11" t="s">
        <v>13</v>
      </c>
      <c r="D38" s="12">
        <v>46052.0</v>
      </c>
      <c r="E38" s="11" t="s">
        <v>22</v>
      </c>
      <c r="F38" s="11" t="s">
        <v>115</v>
      </c>
      <c r="G38" s="19"/>
      <c r="H38" s="19"/>
      <c r="I38" s="20"/>
      <c r="J38" s="21" t="s">
        <v>116</v>
      </c>
      <c r="K38" s="22" t="s">
        <v>117</v>
      </c>
      <c r="L38" s="16" t="s">
        <v>18</v>
      </c>
      <c r="M38" s="17" t="str">
        <f>IF(E38="BQ10", LEFT(RIGHT(F38,12),7),"")&amp;IF(E38="BQ5", LEFT(RIGHT(F38,36),7),"")&amp;IF(E38="BQ3", LEFT(RIGHT(F38,7),7),"")</f>
        <v>3788752</v>
      </c>
      <c r="O38" s="8"/>
    </row>
    <row r="39">
      <c r="A39" s="9" t="str">
        <f t="shared" si="1"/>
        <v>10013077</v>
      </c>
      <c r="B39" s="10">
        <v>5.1105E11</v>
      </c>
      <c r="C39" s="11" t="s">
        <v>13</v>
      </c>
      <c r="D39" s="12">
        <v>46052.0</v>
      </c>
      <c r="E39" s="11" t="s">
        <v>22</v>
      </c>
      <c r="F39" s="11" t="s">
        <v>118</v>
      </c>
      <c r="G39" s="19"/>
      <c r="H39" s="19"/>
      <c r="I39" s="20"/>
      <c r="J39" s="21">
        <v>863.1</v>
      </c>
      <c r="K39" s="22" t="s">
        <v>119</v>
      </c>
      <c r="L39" s="16" t="s">
        <v>18</v>
      </c>
      <c r="M39" s="17" t="str">
        <f>IF(E39="BQ10", LEFT(RIGHT(F39,12),8),"")&amp;IF(E39="BQ5", LEFT(RIGHT(F39,36),7),"")&amp;IF(E39="BQ3", LEFT(RIGHT(F39,7),7),"")</f>
        <v>10013077</v>
      </c>
      <c r="O39" s="8"/>
    </row>
    <row r="40">
      <c r="A40" s="9" t="str">
        <f t="shared" si="1"/>
        <v>9698836</v>
      </c>
      <c r="B40" s="10">
        <v>5.1105E11</v>
      </c>
      <c r="C40" s="11" t="s">
        <v>13</v>
      </c>
      <c r="D40" s="12">
        <v>46052.0</v>
      </c>
      <c r="E40" s="11" t="s">
        <v>22</v>
      </c>
      <c r="F40" s="11" t="s">
        <v>120</v>
      </c>
      <c r="G40" s="19"/>
      <c r="H40" s="19"/>
      <c r="I40" s="20"/>
      <c r="J40" s="21">
        <v>922.5</v>
      </c>
      <c r="K40" s="22" t="s">
        <v>121</v>
      </c>
      <c r="L40" s="16" t="s">
        <v>18</v>
      </c>
      <c r="M40" s="17" t="str">
        <f t="shared" ref="M40:M42" si="11">IF(E40="BQ10", LEFT(RIGHT(F40,12),7),"")&amp;IF(E40="BQ5", LEFT(RIGHT(F40,36),7),"")&amp;IF(E40="BQ3", LEFT(RIGHT(F40,7),7),"")</f>
        <v>9698836</v>
      </c>
      <c r="O40" s="8"/>
    </row>
    <row r="41">
      <c r="A41" s="9" t="str">
        <f t="shared" si="1"/>
        <v>4605178</v>
      </c>
      <c r="B41" s="10">
        <v>5.1105E11</v>
      </c>
      <c r="C41" s="11" t="s">
        <v>13</v>
      </c>
      <c r="D41" s="12">
        <v>46052.0</v>
      </c>
      <c r="E41" s="11" t="s">
        <v>22</v>
      </c>
      <c r="F41" s="11" t="s">
        <v>122</v>
      </c>
      <c r="G41" s="19"/>
      <c r="H41" s="19"/>
      <c r="I41" s="20"/>
      <c r="J41" s="21" t="s">
        <v>123</v>
      </c>
      <c r="K41" s="22" t="s">
        <v>124</v>
      </c>
      <c r="L41" s="16" t="s">
        <v>18</v>
      </c>
      <c r="M41" s="17" t="str">
        <f t="shared" si="11"/>
        <v>4605178</v>
      </c>
      <c r="O41" s="8"/>
    </row>
    <row r="42">
      <c r="A42" s="9" t="str">
        <f t="shared" si="1"/>
        <v>9592592</v>
      </c>
      <c r="B42" s="10">
        <v>5.1105E11</v>
      </c>
      <c r="C42" s="11" t="s">
        <v>13</v>
      </c>
      <c r="D42" s="12">
        <v>46052.0</v>
      </c>
      <c r="E42" s="11" t="s">
        <v>22</v>
      </c>
      <c r="F42" s="11" t="s">
        <v>125</v>
      </c>
      <c r="G42" s="19"/>
      <c r="H42" s="19"/>
      <c r="I42" s="20"/>
      <c r="J42" s="21" t="s">
        <v>126</v>
      </c>
      <c r="K42" s="22" t="s">
        <v>127</v>
      </c>
      <c r="L42" s="16" t="s">
        <v>18</v>
      </c>
      <c r="M42" s="17" t="str">
        <f t="shared" si="11"/>
        <v>9592592</v>
      </c>
      <c r="O42" s="8"/>
    </row>
    <row r="43">
      <c r="A43" s="9" t="str">
        <f t="shared" si="1"/>
        <v>12486053</v>
      </c>
      <c r="B43" s="10">
        <v>5.1105E11</v>
      </c>
      <c r="C43" s="11" t="s">
        <v>13</v>
      </c>
      <c r="D43" s="12">
        <v>46052.0</v>
      </c>
      <c r="E43" s="11" t="s">
        <v>22</v>
      </c>
      <c r="F43" s="11" t="s">
        <v>128</v>
      </c>
      <c r="G43" s="19"/>
      <c r="H43" s="19"/>
      <c r="I43" s="20"/>
      <c r="J43" s="21" t="s">
        <v>129</v>
      </c>
      <c r="K43" s="22" t="s">
        <v>130</v>
      </c>
      <c r="L43" s="16" t="s">
        <v>18</v>
      </c>
      <c r="M43" s="17" t="str">
        <f>IF(E43="BQ10", LEFT(RIGHT(F43,12),8),"")&amp;IF(E43="BQ5", LEFT(RIGHT(F43,36),7),"")&amp;IF(E43="BQ3", LEFT(RIGHT(F43,7),7),"")</f>
        <v>12486053</v>
      </c>
      <c r="O43" s="8"/>
    </row>
    <row r="44">
      <c r="A44" s="9" t="str">
        <f t="shared" si="1"/>
        <v>8932411</v>
      </c>
      <c r="B44" s="10">
        <v>5.1105E11</v>
      </c>
      <c r="C44" s="11" t="s">
        <v>13</v>
      </c>
      <c r="D44" s="12">
        <v>46052.0</v>
      </c>
      <c r="E44" s="11" t="s">
        <v>22</v>
      </c>
      <c r="F44" s="11" t="s">
        <v>131</v>
      </c>
      <c r="G44" s="19"/>
      <c r="H44" s="19"/>
      <c r="I44" s="20"/>
      <c r="J44" s="21" t="s">
        <v>132</v>
      </c>
      <c r="K44" s="22" t="s">
        <v>133</v>
      </c>
      <c r="L44" s="16" t="s">
        <v>18</v>
      </c>
      <c r="M44" s="17" t="str">
        <f>IF(E44="BQ10", LEFT(RIGHT(F44,12),7),"")&amp;IF(E44="BQ5", LEFT(RIGHT(F44,36),7),"")&amp;IF(E44="BQ3", LEFT(RIGHT(F44,7),7),"")</f>
        <v>8932411</v>
      </c>
      <c r="O44" s="8"/>
    </row>
    <row r="45">
      <c r="A45" s="9" t="str">
        <f t="shared" si="1"/>
        <v>10668724</v>
      </c>
      <c r="B45" s="10">
        <v>5.1105E11</v>
      </c>
      <c r="C45" s="11" t="s">
        <v>13</v>
      </c>
      <c r="D45" s="12">
        <v>46052.0</v>
      </c>
      <c r="E45" s="11" t="s">
        <v>22</v>
      </c>
      <c r="F45" s="11" t="s">
        <v>134</v>
      </c>
      <c r="G45" s="19"/>
      <c r="H45" s="19"/>
      <c r="I45" s="20"/>
      <c r="J45" s="21" t="s">
        <v>135</v>
      </c>
      <c r="K45" s="22" t="s">
        <v>136</v>
      </c>
      <c r="L45" s="16" t="s">
        <v>18</v>
      </c>
      <c r="M45" s="17" t="str">
        <f>IF(E45="BQ10", LEFT(RIGHT(F45,12),8),"")&amp;IF(E45="BQ5", LEFT(RIGHT(F45,36),7),"")&amp;IF(E45="BQ3", LEFT(RIGHT(F45,7),7),"")</f>
        <v>10668724</v>
      </c>
      <c r="O45" s="8"/>
    </row>
    <row r="46">
      <c r="A46" s="9" t="str">
        <f t="shared" si="1"/>
        <v>9626274</v>
      </c>
      <c r="B46" s="10">
        <v>5.1105E11</v>
      </c>
      <c r="C46" s="11" t="s">
        <v>13</v>
      </c>
      <c r="D46" s="12">
        <v>46052.0</v>
      </c>
      <c r="E46" s="11" t="s">
        <v>22</v>
      </c>
      <c r="F46" s="11" t="s">
        <v>137</v>
      </c>
      <c r="G46" s="19"/>
      <c r="H46" s="19"/>
      <c r="I46" s="20"/>
      <c r="J46" s="21" t="s">
        <v>138</v>
      </c>
      <c r="K46" s="22" t="s">
        <v>139</v>
      </c>
      <c r="L46" s="16" t="s">
        <v>18</v>
      </c>
      <c r="M46" s="17" t="str">
        <f t="shared" ref="M46:M50" si="12">IF(E46="BQ10", LEFT(RIGHT(F46,12),7),"")&amp;IF(E46="BQ5", LEFT(RIGHT(F46,36),7),"")&amp;IF(E46="BQ3", LEFT(RIGHT(F46,7),7),"")</f>
        <v>9626274</v>
      </c>
      <c r="O46" s="8"/>
    </row>
    <row r="47">
      <c r="A47" s="9" t="str">
        <f t="shared" si="1"/>
        <v>5042200</v>
      </c>
      <c r="B47" s="10">
        <v>5.1105E11</v>
      </c>
      <c r="C47" s="11" t="s">
        <v>13</v>
      </c>
      <c r="D47" s="12">
        <v>46052.0</v>
      </c>
      <c r="E47" s="11" t="s">
        <v>22</v>
      </c>
      <c r="F47" s="11" t="s">
        <v>140</v>
      </c>
      <c r="G47" s="19"/>
      <c r="H47" s="19"/>
      <c r="I47" s="20"/>
      <c r="J47" s="21" t="s">
        <v>141</v>
      </c>
      <c r="K47" s="22" t="s">
        <v>142</v>
      </c>
      <c r="L47" s="16" t="s">
        <v>18</v>
      </c>
      <c r="M47" s="17" t="str">
        <f t="shared" si="12"/>
        <v>5042200</v>
      </c>
      <c r="O47" s="8"/>
    </row>
    <row r="48">
      <c r="A48" s="9" t="str">
        <f t="shared" si="1"/>
        <v>8935631</v>
      </c>
      <c r="B48" s="10">
        <v>5.1105E11</v>
      </c>
      <c r="C48" s="11" t="s">
        <v>13</v>
      </c>
      <c r="D48" s="12">
        <v>46052.0</v>
      </c>
      <c r="E48" s="11" t="s">
        <v>22</v>
      </c>
      <c r="F48" s="11" t="s">
        <v>143</v>
      </c>
      <c r="G48" s="19"/>
      <c r="H48" s="19"/>
      <c r="I48" s="20"/>
      <c r="J48" s="21" t="s">
        <v>144</v>
      </c>
      <c r="K48" s="22" t="s">
        <v>145</v>
      </c>
      <c r="L48" s="16" t="s">
        <v>18</v>
      </c>
      <c r="M48" s="17" t="str">
        <f t="shared" si="12"/>
        <v>8935631</v>
      </c>
      <c r="O48" s="8"/>
    </row>
    <row r="49">
      <c r="A49" s="9" t="str">
        <f t="shared" si="1"/>
        <v>8935415</v>
      </c>
      <c r="B49" s="10">
        <v>5.1105E11</v>
      </c>
      <c r="C49" s="11" t="s">
        <v>13</v>
      </c>
      <c r="D49" s="12">
        <v>46052.0</v>
      </c>
      <c r="E49" s="11" t="s">
        <v>22</v>
      </c>
      <c r="F49" s="11" t="s">
        <v>146</v>
      </c>
      <c r="G49" s="19"/>
      <c r="H49" s="19"/>
      <c r="I49" s="20"/>
      <c r="J49" s="21">
        <v>597.84</v>
      </c>
      <c r="K49" s="22" t="s">
        <v>147</v>
      </c>
      <c r="L49" s="16" t="s">
        <v>18</v>
      </c>
      <c r="M49" s="17" t="str">
        <f t="shared" si="12"/>
        <v>8935415</v>
      </c>
      <c r="O49" s="8"/>
    </row>
    <row r="50">
      <c r="A50" s="9" t="str">
        <f t="shared" si="1"/>
        <v>3788679</v>
      </c>
      <c r="B50" s="10">
        <v>5.1105E11</v>
      </c>
      <c r="C50" s="11" t="s">
        <v>13</v>
      </c>
      <c r="D50" s="12">
        <v>46052.0</v>
      </c>
      <c r="E50" s="11" t="s">
        <v>148</v>
      </c>
      <c r="F50" s="11" t="s">
        <v>149</v>
      </c>
      <c r="G50" s="19"/>
      <c r="H50" s="19"/>
      <c r="I50" s="20"/>
      <c r="J50" s="21">
        <v>502.74</v>
      </c>
      <c r="K50" s="22" t="s">
        <v>150</v>
      </c>
      <c r="L50" s="16" t="s">
        <v>18</v>
      </c>
      <c r="M50" s="17" t="str">
        <f t="shared" si="12"/>
        <v>3788679</v>
      </c>
      <c r="O50" s="8"/>
    </row>
    <row r="51">
      <c r="A51" s="9" t="str">
        <f t="shared" si="1"/>
        <v/>
      </c>
      <c r="B51" s="10"/>
      <c r="C51" s="11"/>
      <c r="D51" s="12"/>
      <c r="E51" s="11"/>
      <c r="F51" s="11"/>
      <c r="G51" s="19"/>
      <c r="H51" s="19"/>
      <c r="I51" s="20"/>
      <c r="J51" s="21"/>
      <c r="K51" s="22"/>
      <c r="L51" s="16" t="s">
        <v>151</v>
      </c>
      <c r="M51" s="17" t="str">
        <f>IF(E51="BQ3", LEFT(RIGHT(F51,20),8),"")&amp;IF(E51="BQ2", LEFT(RIGHT(F51,23),7),"")&amp;IF(E51="BQ1", LEFT(RIGHT(F51,49),7),"")</f>
        <v/>
      </c>
      <c r="O51" s="8"/>
    </row>
    <row r="52">
      <c r="A52" s="9" t="str">
        <f t="shared" si="1"/>
        <v/>
      </c>
      <c r="B52" s="10"/>
      <c r="C52" s="11"/>
      <c r="D52" s="12"/>
      <c r="E52" s="11"/>
      <c r="F52" s="11"/>
      <c r="G52" s="19"/>
      <c r="H52" s="19"/>
      <c r="I52" s="20"/>
      <c r="J52" s="21"/>
      <c r="K52" s="22"/>
      <c r="L52" s="16" t="s">
        <v>151</v>
      </c>
      <c r="M52" s="17" t="str">
        <f t="shared" ref="M52:M53" si="13">IF(E52="BQ3", LEFT(RIGHT(F52,19),7),"")&amp;IF(E52="BQ2", LEFT(RIGHT(F52,23),7),"")&amp;IF(E52="BQ1", LEFT(RIGHT(F52,49),7),"")</f>
        <v/>
      </c>
      <c r="O52" s="8"/>
    </row>
    <row r="53">
      <c r="A53" s="9" t="str">
        <f t="shared" si="1"/>
        <v/>
      </c>
      <c r="B53" s="10"/>
      <c r="C53" s="11"/>
      <c r="D53" s="12"/>
      <c r="E53" s="11"/>
      <c r="F53" s="11"/>
      <c r="G53" s="19"/>
      <c r="H53" s="19"/>
      <c r="I53" s="20"/>
      <c r="J53" s="21"/>
      <c r="K53" s="22"/>
      <c r="L53" s="16" t="s">
        <v>151</v>
      </c>
      <c r="M53" s="17" t="str">
        <f t="shared" si="13"/>
        <v/>
      </c>
      <c r="O53" s="8"/>
    </row>
    <row r="54">
      <c r="A54" s="9" t="str">
        <f t="shared" si="1"/>
        <v/>
      </c>
      <c r="B54" s="10"/>
      <c r="C54" s="11"/>
      <c r="D54" s="12"/>
      <c r="E54" s="11"/>
      <c r="F54" s="11"/>
      <c r="G54" s="19"/>
      <c r="H54" s="19"/>
      <c r="I54" s="20"/>
      <c r="J54" s="21"/>
      <c r="K54" s="22"/>
      <c r="L54" s="16" t="s">
        <v>151</v>
      </c>
      <c r="M54" s="17" t="str">
        <f t="shared" ref="M54:M55" si="14">IF(E54="BQ3", LEFT(RIGHT(F54,20),8),"")&amp;IF(E54="BQ2", LEFT(RIGHT(F54,23),7),"")&amp;IF(E54="BQ1", LEFT(RIGHT(F54,49),7),"")</f>
        <v/>
      </c>
      <c r="O54" s="8"/>
    </row>
    <row r="55">
      <c r="A55" s="9" t="str">
        <f t="shared" si="1"/>
        <v/>
      </c>
      <c r="B55" s="10"/>
      <c r="C55" s="11"/>
      <c r="D55" s="12"/>
      <c r="E55" s="11"/>
      <c r="F55" s="11"/>
      <c r="G55" s="19"/>
      <c r="H55" s="19"/>
      <c r="I55" s="20"/>
      <c r="J55" s="21"/>
      <c r="K55" s="22"/>
      <c r="L55" s="16" t="s">
        <v>151</v>
      </c>
      <c r="M55" s="17" t="str">
        <f t="shared" si="14"/>
        <v/>
      </c>
      <c r="O55" s="8"/>
    </row>
    <row r="56">
      <c r="A56" s="9" t="str">
        <f t="shared" si="1"/>
        <v/>
      </c>
      <c r="B56" s="10"/>
      <c r="C56" s="11"/>
      <c r="D56" s="12"/>
      <c r="E56" s="11"/>
      <c r="F56" s="11"/>
      <c r="G56" s="19"/>
      <c r="H56" s="19"/>
      <c r="I56" s="20"/>
      <c r="J56" s="21"/>
      <c r="K56" s="22"/>
      <c r="L56" s="16" t="s">
        <v>151</v>
      </c>
      <c r="M56" s="17" t="str">
        <f t="shared" ref="M56:M58" si="15">IF(E56="BQ3", LEFT(RIGHT(F56,19),7),"")&amp;IF(E56="BQ2", LEFT(RIGHT(F56,23),7),"")&amp;IF(E56="BQ1", LEFT(RIGHT(F56,49),7),"")</f>
        <v/>
      </c>
      <c r="O56" s="8"/>
    </row>
    <row r="57">
      <c r="A57" s="9" t="str">
        <f t="shared" si="1"/>
        <v/>
      </c>
      <c r="B57" s="10"/>
      <c r="C57" s="11"/>
      <c r="D57" s="12"/>
      <c r="E57" s="11"/>
      <c r="F57" s="11"/>
      <c r="G57" s="19"/>
      <c r="H57" s="19"/>
      <c r="I57" s="20"/>
      <c r="J57" s="21"/>
      <c r="K57" s="22"/>
      <c r="L57" s="16" t="s">
        <v>151</v>
      </c>
      <c r="M57" s="17" t="str">
        <f t="shared" si="15"/>
        <v/>
      </c>
      <c r="O57" s="8"/>
    </row>
    <row r="58">
      <c r="A58" s="9" t="str">
        <f t="shared" si="1"/>
        <v/>
      </c>
      <c r="B58" s="10"/>
      <c r="C58" s="11"/>
      <c r="D58" s="12"/>
      <c r="E58" s="11"/>
      <c r="F58" s="11"/>
      <c r="G58" s="19"/>
      <c r="H58" s="19"/>
      <c r="I58" s="20"/>
      <c r="J58" s="21"/>
      <c r="K58" s="22"/>
      <c r="L58" s="16" t="s">
        <v>151</v>
      </c>
      <c r="M58" s="17" t="str">
        <f t="shared" si="15"/>
        <v/>
      </c>
      <c r="O58" s="8"/>
    </row>
    <row r="59">
      <c r="A59" s="9" t="str">
        <f t="shared" si="1"/>
        <v/>
      </c>
      <c r="B59" s="10"/>
      <c r="C59" s="11"/>
      <c r="D59" s="12"/>
      <c r="E59" s="11"/>
      <c r="F59" s="11"/>
      <c r="G59" s="19"/>
      <c r="H59" s="19"/>
      <c r="I59" s="20"/>
      <c r="J59" s="21"/>
      <c r="K59" s="22"/>
      <c r="L59" s="16" t="s">
        <v>151</v>
      </c>
      <c r="M59" s="17" t="str">
        <f t="shared" ref="M59:M62" si="16">IF(E59="BQ3", LEFT(RIGHT(F59,19),7),"")&amp;IF(E59="BQ2", LEFT(RIGHT(F59,26),7),"")&amp;IF(E59="BQ1", LEFT(RIGHT(F59,51),7),"")</f>
        <v/>
      </c>
      <c r="O59" s="8"/>
    </row>
    <row r="60">
      <c r="A60" s="9" t="str">
        <f t="shared" si="1"/>
        <v/>
      </c>
      <c r="B60" s="10"/>
      <c r="C60" s="11"/>
      <c r="D60" s="12"/>
      <c r="E60" s="11"/>
      <c r="F60" s="11"/>
      <c r="G60" s="19"/>
      <c r="H60" s="19"/>
      <c r="I60" s="20"/>
      <c r="J60" s="21"/>
      <c r="K60" s="22"/>
      <c r="L60" s="16" t="s">
        <v>151</v>
      </c>
      <c r="M60" s="17" t="str">
        <f t="shared" si="16"/>
        <v/>
      </c>
      <c r="O60" s="8"/>
    </row>
    <row r="61">
      <c r="A61" s="9" t="str">
        <f t="shared" si="1"/>
        <v/>
      </c>
      <c r="B61" s="10"/>
      <c r="C61" s="11"/>
      <c r="D61" s="12"/>
      <c r="E61" s="11"/>
      <c r="F61" s="11"/>
      <c r="G61" s="19"/>
      <c r="H61" s="19"/>
      <c r="I61" s="20"/>
      <c r="J61" s="21"/>
      <c r="K61" s="22"/>
      <c r="L61" s="16" t="s">
        <v>151</v>
      </c>
      <c r="M61" s="17" t="str">
        <f t="shared" si="16"/>
        <v/>
      </c>
      <c r="O61" s="8"/>
    </row>
    <row r="62">
      <c r="A62" s="9" t="str">
        <f t="shared" si="1"/>
        <v/>
      </c>
      <c r="B62" s="10"/>
      <c r="C62" s="11"/>
      <c r="D62" s="12"/>
      <c r="E62" s="11"/>
      <c r="F62" s="11"/>
      <c r="G62" s="19"/>
      <c r="H62" s="19"/>
      <c r="I62" s="20"/>
      <c r="J62" s="21"/>
      <c r="K62" s="22"/>
      <c r="L62" s="16" t="s">
        <v>151</v>
      </c>
      <c r="M62" s="17" t="str">
        <f t="shared" si="16"/>
        <v/>
      </c>
      <c r="O62" s="8"/>
    </row>
    <row r="63">
      <c r="A63" s="9" t="str">
        <f t="shared" si="1"/>
        <v/>
      </c>
      <c r="B63" s="10"/>
      <c r="C63" s="11"/>
      <c r="D63" s="12"/>
      <c r="E63" s="11"/>
      <c r="F63" s="11"/>
      <c r="G63" s="19"/>
      <c r="H63" s="19"/>
      <c r="I63" s="20"/>
      <c r="J63" s="21"/>
      <c r="K63" s="22"/>
      <c r="L63" s="16" t="s">
        <v>151</v>
      </c>
      <c r="M63" s="17" t="str">
        <f t="shared" ref="M63:M65" si="17">IF(E63="BQ3", LEFT(RIGHT(F63,19),7),"")&amp;IF(E63="BQ2", LEFT(RIGHT(F63,34),7),"")&amp;IF(E63="BQ1", LEFT(RIGHT(F63,51),7),"")</f>
        <v/>
      </c>
      <c r="O63" s="8"/>
    </row>
    <row r="64">
      <c r="A64" s="9" t="str">
        <f t="shared" si="1"/>
        <v/>
      </c>
      <c r="B64" s="10"/>
      <c r="C64" s="11"/>
      <c r="D64" s="12"/>
      <c r="E64" s="11"/>
      <c r="F64" s="11"/>
      <c r="G64" s="19"/>
      <c r="H64" s="19"/>
      <c r="I64" s="20"/>
      <c r="J64" s="21"/>
      <c r="K64" s="22"/>
      <c r="L64" s="16" t="s">
        <v>151</v>
      </c>
      <c r="M64" s="17" t="str">
        <f t="shared" si="17"/>
        <v/>
      </c>
      <c r="O64" s="8"/>
    </row>
    <row r="65">
      <c r="A65" s="9" t="str">
        <f t="shared" si="1"/>
        <v/>
      </c>
      <c r="B65" s="10"/>
      <c r="C65" s="11"/>
      <c r="D65" s="12"/>
      <c r="E65" s="11"/>
      <c r="F65" s="11"/>
      <c r="G65" s="19"/>
      <c r="H65" s="19"/>
      <c r="I65" s="20"/>
      <c r="J65" s="21"/>
      <c r="K65" s="22"/>
      <c r="L65" s="16" t="s">
        <v>151</v>
      </c>
      <c r="M65" s="17" t="str">
        <f t="shared" si="17"/>
        <v/>
      </c>
      <c r="O65" s="8"/>
    </row>
    <row r="66">
      <c r="A66" s="9" t="str">
        <f t="shared" si="1"/>
        <v/>
      </c>
      <c r="B66" s="10"/>
      <c r="C66" s="11"/>
      <c r="D66" s="12"/>
      <c r="E66" s="11"/>
      <c r="F66" s="11"/>
      <c r="G66" s="19"/>
      <c r="H66" s="19"/>
      <c r="I66" s="20"/>
      <c r="J66" s="21"/>
      <c r="K66" s="22"/>
      <c r="L66" s="16" t="s">
        <v>151</v>
      </c>
      <c r="M66" s="17" t="str">
        <f t="shared" ref="M66:M67" si="18">IF(E66="BQ3", LEFT(RIGHT(F66,19),7),"")&amp;IF(E66="BQ2", LEFT(RIGHT(F66,26),7),"")&amp;IF(E66="BQ1", LEFT(RIGHT(F66,51),7),"")</f>
        <v/>
      </c>
      <c r="O66" s="8"/>
    </row>
    <row r="67">
      <c r="A67" s="9" t="str">
        <f t="shared" si="1"/>
        <v/>
      </c>
      <c r="B67" s="10"/>
      <c r="C67" s="11"/>
      <c r="D67" s="12"/>
      <c r="E67" s="11"/>
      <c r="F67" s="11"/>
      <c r="G67" s="19"/>
      <c r="H67" s="19"/>
      <c r="I67" s="20"/>
      <c r="J67" s="21"/>
      <c r="K67" s="22"/>
      <c r="L67" s="16" t="s">
        <v>151</v>
      </c>
      <c r="M67" s="17" t="str">
        <f t="shared" si="18"/>
        <v/>
      </c>
      <c r="O67" s="8"/>
    </row>
    <row r="68">
      <c r="A68" s="9" t="str">
        <f t="shared" si="1"/>
        <v/>
      </c>
      <c r="B68" s="10"/>
      <c r="C68" s="11"/>
      <c r="D68" s="12"/>
      <c r="E68" s="11"/>
      <c r="F68" s="11"/>
      <c r="G68" s="19"/>
      <c r="H68" s="19"/>
      <c r="I68" s="20"/>
      <c r="J68" s="21"/>
      <c r="K68" s="22"/>
      <c r="L68" s="16" t="s">
        <v>151</v>
      </c>
      <c r="M68" s="17" t="str">
        <f t="shared" ref="M68:M69" si="19">IF(E68="BQ3", LEFT(RIGHT(F68,19),7),"")&amp;IF(E68="BQ2", LEFT(RIGHT(F68,34),7),"")&amp;IF(E68="BQ1", LEFT(RIGHT(F68,49),7),"")</f>
        <v/>
      </c>
      <c r="O68" s="8"/>
    </row>
    <row r="69">
      <c r="A69" s="9" t="str">
        <f t="shared" si="1"/>
        <v/>
      </c>
      <c r="B69" s="10"/>
      <c r="C69" s="11"/>
      <c r="D69" s="12"/>
      <c r="E69" s="11"/>
      <c r="F69" s="11"/>
      <c r="G69" s="19"/>
      <c r="H69" s="19"/>
      <c r="I69" s="20"/>
      <c r="J69" s="21"/>
      <c r="K69" s="22"/>
      <c r="L69" s="16" t="s">
        <v>151</v>
      </c>
      <c r="M69" s="17" t="str">
        <f t="shared" si="19"/>
        <v/>
      </c>
      <c r="O69" s="8"/>
    </row>
    <row r="70">
      <c r="A70" s="9" t="str">
        <f t="shared" si="1"/>
        <v/>
      </c>
      <c r="B70" s="10"/>
      <c r="C70" s="11"/>
      <c r="D70" s="12"/>
      <c r="E70" s="11"/>
      <c r="F70" s="11"/>
      <c r="G70" s="19"/>
      <c r="H70" s="19"/>
      <c r="I70" s="20"/>
      <c r="J70" s="21"/>
      <c r="K70" s="22"/>
      <c r="L70" s="16" t="s">
        <v>151</v>
      </c>
      <c r="M70" s="17" t="str">
        <f>IF(E70="BQ3", LEFT(RIGHT(F70,19),8),"")&amp;IF(E70="BQ2", LEFT(RIGHT(F70,26),7),"")&amp;IF(E70="BQ1", LEFT(RIGHT(F70,49),7),"")</f>
        <v/>
      </c>
      <c r="O70" s="8"/>
    </row>
    <row r="71">
      <c r="A71" s="9" t="str">
        <f t="shared" si="1"/>
        <v/>
      </c>
      <c r="B71" s="10"/>
      <c r="C71" s="11"/>
      <c r="D71" s="12"/>
      <c r="E71" s="11"/>
      <c r="F71" s="11"/>
      <c r="G71" s="19"/>
      <c r="H71" s="19"/>
      <c r="I71" s="20"/>
      <c r="J71" s="21"/>
      <c r="K71" s="22"/>
      <c r="L71" s="16" t="s">
        <v>151</v>
      </c>
      <c r="O71" s="8"/>
    </row>
    <row r="72">
      <c r="A72" s="9" t="str">
        <f t="shared" si="1"/>
        <v/>
      </c>
      <c r="B72" s="10"/>
      <c r="C72" s="11"/>
      <c r="D72" s="12"/>
      <c r="E72" s="11"/>
      <c r="F72" s="11"/>
      <c r="G72" s="19"/>
      <c r="H72" s="19"/>
      <c r="I72" s="20"/>
      <c r="J72" s="21"/>
      <c r="K72" s="22"/>
      <c r="L72" s="16" t="s">
        <v>151</v>
      </c>
      <c r="O72" s="8"/>
    </row>
    <row r="73">
      <c r="A73" s="9" t="str">
        <f t="shared" si="1"/>
        <v/>
      </c>
      <c r="B73" s="10"/>
      <c r="C73" s="11"/>
      <c r="D73" s="12"/>
      <c r="E73" s="11"/>
      <c r="F73" s="11"/>
      <c r="G73" s="19"/>
      <c r="H73" s="19"/>
      <c r="I73" s="20"/>
      <c r="J73" s="21"/>
      <c r="K73" s="22"/>
      <c r="L73" s="16" t="s">
        <v>151</v>
      </c>
      <c r="O73" s="8"/>
    </row>
    <row r="74">
      <c r="A74" s="9" t="str">
        <f t="shared" si="1"/>
        <v/>
      </c>
      <c r="B74" s="10"/>
      <c r="C74" s="11"/>
      <c r="D74" s="12"/>
      <c r="E74" s="11"/>
      <c r="F74" s="11"/>
      <c r="G74" s="19"/>
      <c r="H74" s="19"/>
      <c r="I74" s="20"/>
      <c r="J74" s="21"/>
      <c r="K74" s="22"/>
      <c r="L74" s="16" t="s">
        <v>151</v>
      </c>
      <c r="O74" s="8"/>
    </row>
    <row r="75">
      <c r="A75" s="9" t="str">
        <f t="shared" si="1"/>
        <v/>
      </c>
      <c r="B75" s="10"/>
      <c r="C75" s="11"/>
      <c r="D75" s="12"/>
      <c r="E75" s="11"/>
      <c r="F75" s="11"/>
      <c r="G75" s="19"/>
      <c r="H75" s="19"/>
      <c r="I75" s="20"/>
      <c r="J75" s="21"/>
      <c r="K75" s="22"/>
      <c r="L75" s="16" t="s">
        <v>151</v>
      </c>
      <c r="O75" s="8"/>
    </row>
    <row r="76">
      <c r="A76" s="9" t="str">
        <f t="shared" si="1"/>
        <v/>
      </c>
      <c r="B76" s="10"/>
      <c r="C76" s="11"/>
      <c r="D76" s="12"/>
      <c r="E76" s="11"/>
      <c r="F76" s="11"/>
      <c r="G76" s="19"/>
      <c r="H76" s="19"/>
      <c r="I76" s="20"/>
      <c r="J76" s="21"/>
      <c r="K76" s="22"/>
      <c r="L76" s="16" t="s">
        <v>151</v>
      </c>
      <c r="O76" s="8"/>
    </row>
    <row r="77">
      <c r="A77" s="9" t="str">
        <f t="shared" si="1"/>
        <v/>
      </c>
      <c r="B77" s="10"/>
      <c r="C77" s="11"/>
      <c r="D77" s="12"/>
      <c r="E77" s="11"/>
      <c r="F77" s="11"/>
      <c r="G77" s="19"/>
      <c r="H77" s="19"/>
      <c r="I77" s="20"/>
      <c r="J77" s="21"/>
      <c r="K77" s="22"/>
      <c r="L77" s="16" t="s">
        <v>151</v>
      </c>
      <c r="O77" s="8"/>
    </row>
    <row r="78">
      <c r="A78" s="9" t="str">
        <f t="shared" si="1"/>
        <v/>
      </c>
      <c r="B78" s="10"/>
      <c r="C78" s="11"/>
      <c r="D78" s="12"/>
      <c r="E78" s="11"/>
      <c r="F78" s="11"/>
      <c r="G78" s="19"/>
      <c r="H78" s="19"/>
      <c r="I78" s="20"/>
      <c r="J78" s="21"/>
      <c r="K78" s="22"/>
      <c r="L78" s="16" t="s">
        <v>151</v>
      </c>
      <c r="O78" s="8"/>
    </row>
    <row r="79">
      <c r="A79" s="9" t="str">
        <f t="shared" si="1"/>
        <v/>
      </c>
      <c r="B79" s="10"/>
      <c r="C79" s="11"/>
      <c r="D79" s="12"/>
      <c r="E79" s="11"/>
      <c r="F79" s="11"/>
      <c r="G79" s="19"/>
      <c r="H79" s="19"/>
      <c r="I79" s="20"/>
      <c r="J79" s="21"/>
      <c r="K79" s="22"/>
      <c r="L79" s="16" t="s">
        <v>151</v>
      </c>
      <c r="O79" s="8"/>
    </row>
    <row r="80">
      <c r="A80" s="9" t="str">
        <f t="shared" si="1"/>
        <v/>
      </c>
      <c r="B80" s="10"/>
      <c r="C80" s="11"/>
      <c r="D80" s="12"/>
      <c r="E80" s="11"/>
      <c r="F80" s="11"/>
      <c r="G80" s="19"/>
      <c r="H80" s="19"/>
      <c r="I80" s="20"/>
      <c r="J80" s="21"/>
      <c r="K80" s="22"/>
      <c r="L80" s="16" t="s">
        <v>151</v>
      </c>
      <c r="O80" s="8"/>
    </row>
    <row r="81">
      <c r="A81" s="9" t="str">
        <f t="shared" si="1"/>
        <v/>
      </c>
      <c r="B81" s="10"/>
      <c r="C81" s="11"/>
      <c r="D81" s="12"/>
      <c r="E81" s="11"/>
      <c r="F81" s="11"/>
      <c r="G81" s="19"/>
      <c r="H81" s="19"/>
      <c r="I81" s="20"/>
      <c r="J81" s="21"/>
      <c r="K81" s="22"/>
      <c r="L81" s="16" t="s">
        <v>151</v>
      </c>
      <c r="O81" s="8"/>
    </row>
    <row r="82">
      <c r="A82" s="9" t="str">
        <f t="shared" si="1"/>
        <v/>
      </c>
      <c r="B82" s="10"/>
      <c r="C82" s="11"/>
      <c r="D82" s="12"/>
      <c r="E82" s="11"/>
      <c r="F82" s="11"/>
      <c r="G82" s="19"/>
      <c r="H82" s="19"/>
      <c r="I82" s="20"/>
      <c r="J82" s="21"/>
      <c r="K82" s="22"/>
      <c r="L82" s="16" t="s">
        <v>151</v>
      </c>
      <c r="O82" s="8"/>
    </row>
    <row r="83">
      <c r="A83" s="9" t="str">
        <f t="shared" si="1"/>
        <v/>
      </c>
      <c r="B83" s="10"/>
      <c r="C83" s="11"/>
      <c r="D83" s="12"/>
      <c r="E83" s="11"/>
      <c r="F83" s="11"/>
      <c r="G83" s="19"/>
      <c r="H83" s="19"/>
      <c r="I83" s="20"/>
      <c r="J83" s="21"/>
      <c r="K83" s="22"/>
      <c r="L83" s="16" t="s">
        <v>151</v>
      </c>
      <c r="O83" s="8"/>
    </row>
    <row r="84">
      <c r="A84" s="9" t="str">
        <f t="shared" si="1"/>
        <v/>
      </c>
      <c r="B84" s="10"/>
      <c r="C84" s="11"/>
      <c r="D84" s="12"/>
      <c r="E84" s="11"/>
      <c r="F84" s="11"/>
      <c r="G84" s="19"/>
      <c r="H84" s="19"/>
      <c r="I84" s="20"/>
      <c r="J84" s="21"/>
      <c r="K84" s="22"/>
      <c r="L84" s="16" t="s">
        <v>151</v>
      </c>
      <c r="O84" s="8"/>
    </row>
    <row r="85">
      <c r="A85" s="9" t="str">
        <f t="shared" si="1"/>
        <v/>
      </c>
      <c r="B85" s="10"/>
      <c r="C85" s="11"/>
      <c r="D85" s="12"/>
      <c r="E85" s="11"/>
      <c r="F85" s="11"/>
      <c r="G85" s="19"/>
      <c r="H85" s="19"/>
      <c r="I85" s="20"/>
      <c r="J85" s="21"/>
      <c r="K85" s="22"/>
      <c r="L85" s="16" t="s">
        <v>151</v>
      </c>
      <c r="O85" s="8"/>
    </row>
    <row r="86">
      <c r="A86" s="9" t="str">
        <f t="shared" si="1"/>
        <v/>
      </c>
      <c r="B86" s="10"/>
      <c r="C86" s="11"/>
      <c r="D86" s="12"/>
      <c r="E86" s="11"/>
      <c r="F86" s="11"/>
      <c r="G86" s="19"/>
      <c r="H86" s="19"/>
      <c r="I86" s="20"/>
      <c r="J86" s="21"/>
      <c r="K86" s="22"/>
      <c r="L86" s="16" t="s">
        <v>151</v>
      </c>
      <c r="O86" s="8"/>
    </row>
    <row r="87">
      <c r="A87" s="9" t="str">
        <f t="shared" si="1"/>
        <v/>
      </c>
      <c r="B87" s="10"/>
      <c r="C87" s="11"/>
      <c r="D87" s="12"/>
      <c r="E87" s="11"/>
      <c r="F87" s="11"/>
      <c r="G87" s="19"/>
      <c r="H87" s="19"/>
      <c r="I87" s="20"/>
      <c r="J87" s="21"/>
      <c r="K87" s="22"/>
      <c r="L87" s="16" t="s">
        <v>151</v>
      </c>
      <c r="O87" s="8"/>
    </row>
    <row r="88">
      <c r="A88" s="9" t="str">
        <f t="shared" si="1"/>
        <v/>
      </c>
      <c r="B88" s="10"/>
      <c r="C88" s="11"/>
      <c r="D88" s="12"/>
      <c r="E88" s="11"/>
      <c r="F88" s="11"/>
      <c r="G88" s="19"/>
      <c r="H88" s="19"/>
      <c r="I88" s="20"/>
      <c r="J88" s="21"/>
      <c r="K88" s="22"/>
      <c r="L88" s="16" t="s">
        <v>151</v>
      </c>
      <c r="O88" s="8"/>
    </row>
    <row r="89">
      <c r="A89" s="9" t="str">
        <f t="shared" si="1"/>
        <v/>
      </c>
      <c r="B89" s="10"/>
      <c r="C89" s="11"/>
      <c r="D89" s="12"/>
      <c r="E89" s="11"/>
      <c r="F89" s="11"/>
      <c r="G89" s="19"/>
      <c r="H89" s="19"/>
      <c r="I89" s="20"/>
      <c r="J89" s="21"/>
      <c r="K89" s="22"/>
      <c r="L89" s="16" t="s">
        <v>151</v>
      </c>
      <c r="O89" s="8"/>
    </row>
    <row r="90">
      <c r="A90" s="9" t="str">
        <f t="shared" si="1"/>
        <v/>
      </c>
      <c r="B90" s="10"/>
      <c r="C90" s="11"/>
      <c r="D90" s="12"/>
      <c r="E90" s="11"/>
      <c r="F90" s="11"/>
      <c r="G90" s="19"/>
      <c r="H90" s="19"/>
      <c r="I90" s="20"/>
      <c r="J90" s="21"/>
      <c r="K90" s="22"/>
      <c r="L90" s="16" t="s">
        <v>151</v>
      </c>
      <c r="O90" s="8"/>
    </row>
    <row r="91">
      <c r="A91" s="9" t="str">
        <f t="shared" si="1"/>
        <v/>
      </c>
      <c r="B91" s="10"/>
      <c r="C91" s="11"/>
      <c r="D91" s="12"/>
      <c r="E91" s="11"/>
      <c r="F91" s="11"/>
      <c r="G91" s="19"/>
      <c r="H91" s="19"/>
      <c r="I91" s="20"/>
      <c r="J91" s="21"/>
      <c r="K91" s="22"/>
      <c r="L91" s="16" t="s">
        <v>151</v>
      </c>
      <c r="O91" s="8"/>
    </row>
    <row r="92">
      <c r="A92" s="9" t="str">
        <f t="shared" si="1"/>
        <v/>
      </c>
      <c r="B92" s="10"/>
      <c r="C92" s="11"/>
      <c r="D92" s="12"/>
      <c r="E92" s="11"/>
      <c r="F92" s="11"/>
      <c r="G92" s="19"/>
      <c r="H92" s="19"/>
      <c r="I92" s="20"/>
      <c r="J92" s="21"/>
      <c r="K92" s="22"/>
      <c r="L92" s="16" t="s">
        <v>151</v>
      </c>
      <c r="O92" s="8"/>
    </row>
    <row r="93">
      <c r="A93" s="9" t="str">
        <f t="shared" si="1"/>
        <v/>
      </c>
      <c r="B93" s="10"/>
      <c r="C93" s="11"/>
      <c r="D93" s="12"/>
      <c r="E93" s="11"/>
      <c r="F93" s="11"/>
      <c r="G93" s="19"/>
      <c r="H93" s="19"/>
      <c r="I93" s="20"/>
      <c r="J93" s="21"/>
      <c r="K93" s="22"/>
      <c r="L93" s="16" t="s">
        <v>151</v>
      </c>
      <c r="O93" s="8"/>
    </row>
    <row r="94">
      <c r="A94" s="9" t="str">
        <f t="shared" si="1"/>
        <v/>
      </c>
      <c r="B94" s="10"/>
      <c r="C94" s="11"/>
      <c r="D94" s="12"/>
      <c r="E94" s="11"/>
      <c r="F94" s="11"/>
      <c r="G94" s="19"/>
      <c r="H94" s="19"/>
      <c r="I94" s="20"/>
      <c r="J94" s="21"/>
      <c r="K94" s="22"/>
      <c r="L94" s="16" t="s">
        <v>151</v>
      </c>
      <c r="O94" s="8"/>
    </row>
    <row r="95">
      <c r="A95" s="9" t="str">
        <f t="shared" si="1"/>
        <v/>
      </c>
      <c r="B95" s="10"/>
      <c r="C95" s="11"/>
      <c r="D95" s="12"/>
      <c r="E95" s="11"/>
      <c r="F95" s="11"/>
      <c r="G95" s="19"/>
      <c r="H95" s="19"/>
      <c r="I95" s="20"/>
      <c r="J95" s="21"/>
      <c r="K95" s="22"/>
      <c r="L95" s="16" t="s">
        <v>151</v>
      </c>
      <c r="O95" s="8"/>
    </row>
    <row r="96">
      <c r="A96" s="9" t="str">
        <f t="shared" si="1"/>
        <v/>
      </c>
      <c r="B96" s="10"/>
      <c r="C96" s="11"/>
      <c r="D96" s="12"/>
      <c r="E96" s="11"/>
      <c r="F96" s="11"/>
      <c r="G96" s="19"/>
      <c r="H96" s="19"/>
      <c r="I96" s="20"/>
      <c r="J96" s="21"/>
      <c r="K96" s="22"/>
      <c r="L96" s="16" t="s">
        <v>151</v>
      </c>
      <c r="O96" s="8"/>
    </row>
    <row r="97">
      <c r="A97" s="9" t="str">
        <f t="shared" si="1"/>
        <v/>
      </c>
      <c r="B97" s="10"/>
      <c r="C97" s="11"/>
      <c r="D97" s="12"/>
      <c r="E97" s="11"/>
      <c r="F97" s="11"/>
      <c r="G97" s="19"/>
      <c r="H97" s="19"/>
      <c r="I97" s="20"/>
      <c r="J97" s="21"/>
      <c r="K97" s="22"/>
      <c r="L97" s="16" t="s">
        <v>151</v>
      </c>
      <c r="O97" s="8"/>
    </row>
    <row r="98">
      <c r="A98" s="9" t="str">
        <f t="shared" si="1"/>
        <v/>
      </c>
      <c r="B98" s="10"/>
      <c r="C98" s="11"/>
      <c r="D98" s="12"/>
      <c r="E98" s="11"/>
      <c r="F98" s="11"/>
      <c r="G98" s="19"/>
      <c r="H98" s="19"/>
      <c r="I98" s="20"/>
      <c r="J98" s="21"/>
      <c r="K98" s="22"/>
      <c r="L98" s="16" t="s">
        <v>151</v>
      </c>
      <c r="O98" s="8"/>
    </row>
    <row r="99">
      <c r="A99" s="9" t="str">
        <f t="shared" si="1"/>
        <v/>
      </c>
      <c r="B99" s="10"/>
      <c r="C99" s="11"/>
      <c r="D99" s="12"/>
      <c r="E99" s="11"/>
      <c r="F99" s="11"/>
      <c r="G99" s="19"/>
      <c r="H99" s="19"/>
      <c r="I99" s="20"/>
      <c r="J99" s="21"/>
      <c r="K99" s="22"/>
      <c r="L99" s="16" t="s">
        <v>151</v>
      </c>
      <c r="O99" s="8"/>
    </row>
    <row r="100">
      <c r="A100" s="9" t="str">
        <f t="shared" si="1"/>
        <v/>
      </c>
      <c r="B100" s="10"/>
      <c r="C100" s="11"/>
      <c r="D100" s="12"/>
      <c r="E100" s="11"/>
      <c r="F100" s="11"/>
      <c r="G100" s="19"/>
      <c r="H100" s="19"/>
      <c r="I100" s="20"/>
      <c r="J100" s="21"/>
      <c r="K100" s="22"/>
      <c r="L100" s="16" t="s">
        <v>151</v>
      </c>
      <c r="O100" s="8"/>
    </row>
    <row r="101">
      <c r="A101" s="9" t="str">
        <f t="shared" si="1"/>
        <v/>
      </c>
      <c r="B101" s="10"/>
      <c r="C101" s="11"/>
      <c r="D101" s="12"/>
      <c r="E101" s="11"/>
      <c r="F101" s="11"/>
      <c r="G101" s="19"/>
      <c r="H101" s="19"/>
      <c r="I101" s="20"/>
      <c r="J101" s="21"/>
      <c r="K101" s="22"/>
      <c r="L101" s="16" t="s">
        <v>151</v>
      </c>
      <c r="O101" s="8"/>
    </row>
    <row r="102">
      <c r="A102" s="9" t="str">
        <f t="shared" si="1"/>
        <v/>
      </c>
      <c r="B102" s="10"/>
      <c r="C102" s="11"/>
      <c r="D102" s="12"/>
      <c r="E102" s="11"/>
      <c r="F102" s="11"/>
      <c r="G102" s="19"/>
      <c r="H102" s="19"/>
      <c r="I102" s="20"/>
      <c r="J102" s="21"/>
      <c r="K102" s="22"/>
      <c r="L102" s="16" t="s">
        <v>151</v>
      </c>
      <c r="O102" s="8"/>
    </row>
    <row r="103">
      <c r="A103" s="9" t="str">
        <f t="shared" si="1"/>
        <v/>
      </c>
      <c r="B103" s="10"/>
      <c r="C103" s="11"/>
      <c r="D103" s="12"/>
      <c r="E103" s="11"/>
      <c r="F103" s="11"/>
      <c r="G103" s="19"/>
      <c r="H103" s="19"/>
      <c r="I103" s="20"/>
      <c r="J103" s="21"/>
      <c r="K103" s="22"/>
      <c r="L103" s="16" t="s">
        <v>151</v>
      </c>
      <c r="O103" s="8"/>
    </row>
    <row r="104">
      <c r="A104" s="9" t="str">
        <f t="shared" si="1"/>
        <v/>
      </c>
      <c r="B104" s="10"/>
      <c r="C104" s="11"/>
      <c r="D104" s="12"/>
      <c r="E104" s="11"/>
      <c r="F104" s="11"/>
      <c r="G104" s="19"/>
      <c r="H104" s="19"/>
      <c r="I104" s="20"/>
      <c r="J104" s="21"/>
      <c r="K104" s="22"/>
      <c r="L104" s="16" t="s">
        <v>151</v>
      </c>
      <c r="O104" s="8"/>
    </row>
    <row r="105">
      <c r="A105" s="9" t="str">
        <f t="shared" si="1"/>
        <v/>
      </c>
      <c r="B105" s="10"/>
      <c r="C105" s="11"/>
      <c r="D105" s="12"/>
      <c r="E105" s="11"/>
      <c r="F105" s="11"/>
      <c r="G105" s="19"/>
      <c r="H105" s="19"/>
      <c r="I105" s="20"/>
      <c r="J105" s="21"/>
      <c r="K105" s="22"/>
      <c r="L105" s="16" t="s">
        <v>151</v>
      </c>
      <c r="O105" s="8"/>
    </row>
    <row r="106">
      <c r="A106" s="9" t="str">
        <f t="shared" si="1"/>
        <v/>
      </c>
      <c r="B106" s="10"/>
      <c r="C106" s="11"/>
      <c r="D106" s="12"/>
      <c r="E106" s="11"/>
      <c r="F106" s="11"/>
      <c r="G106" s="19"/>
      <c r="H106" s="19"/>
      <c r="I106" s="20"/>
      <c r="J106" s="21"/>
      <c r="K106" s="22"/>
      <c r="L106" s="16" t="s">
        <v>151</v>
      </c>
      <c r="O106" s="8"/>
    </row>
    <row r="107">
      <c r="A107" s="9" t="str">
        <f t="shared" si="1"/>
        <v/>
      </c>
      <c r="B107" s="10"/>
      <c r="C107" s="11"/>
      <c r="D107" s="12"/>
      <c r="E107" s="11"/>
      <c r="F107" s="11"/>
      <c r="G107" s="19"/>
      <c r="H107" s="19"/>
      <c r="I107" s="20"/>
      <c r="J107" s="21"/>
      <c r="K107" s="22"/>
      <c r="L107" s="16" t="s">
        <v>151</v>
      </c>
      <c r="O107" s="8"/>
    </row>
    <row r="108">
      <c r="A108" s="9" t="str">
        <f t="shared" si="1"/>
        <v/>
      </c>
      <c r="B108" s="10"/>
      <c r="C108" s="11"/>
      <c r="D108" s="12"/>
      <c r="E108" s="11"/>
      <c r="F108" s="11"/>
      <c r="G108" s="19"/>
      <c r="H108" s="19"/>
      <c r="I108" s="20"/>
      <c r="J108" s="21"/>
      <c r="K108" s="22"/>
      <c r="L108" s="16" t="s">
        <v>151</v>
      </c>
      <c r="O108" s="8"/>
    </row>
    <row r="109">
      <c r="A109" s="9" t="str">
        <f t="shared" si="1"/>
        <v/>
      </c>
      <c r="B109" s="10"/>
      <c r="C109" s="11"/>
      <c r="D109" s="12"/>
      <c r="E109" s="11"/>
      <c r="F109" s="11"/>
      <c r="G109" s="19"/>
      <c r="H109" s="19"/>
      <c r="I109" s="20"/>
      <c r="J109" s="21"/>
      <c r="K109" s="22"/>
      <c r="L109" s="16" t="s">
        <v>151</v>
      </c>
      <c r="O109" s="8"/>
    </row>
    <row r="110">
      <c r="A110" s="9" t="str">
        <f t="shared" si="1"/>
        <v/>
      </c>
      <c r="B110" s="10"/>
      <c r="C110" s="11"/>
      <c r="D110" s="12"/>
      <c r="E110" s="11"/>
      <c r="F110" s="11"/>
      <c r="G110" s="19"/>
      <c r="H110" s="19"/>
      <c r="I110" s="20"/>
      <c r="J110" s="21"/>
      <c r="K110" s="22"/>
      <c r="L110" s="16" t="s">
        <v>151</v>
      </c>
      <c r="O110" s="8"/>
    </row>
    <row r="111">
      <c r="A111" s="9" t="str">
        <f t="shared" si="1"/>
        <v/>
      </c>
      <c r="B111" s="10"/>
      <c r="C111" s="11"/>
      <c r="D111" s="12"/>
      <c r="E111" s="11"/>
      <c r="F111" s="11"/>
      <c r="G111" s="19"/>
      <c r="H111" s="19"/>
      <c r="I111" s="20"/>
      <c r="J111" s="21"/>
      <c r="K111" s="22"/>
      <c r="L111" s="16" t="s">
        <v>151</v>
      </c>
      <c r="O111" s="8"/>
    </row>
    <row r="112">
      <c r="A112" s="9" t="str">
        <f t="shared" si="1"/>
        <v/>
      </c>
      <c r="B112" s="10"/>
      <c r="C112" s="11"/>
      <c r="D112" s="12"/>
      <c r="E112" s="11"/>
      <c r="F112" s="11"/>
      <c r="G112" s="19"/>
      <c r="H112" s="19"/>
      <c r="I112" s="20"/>
      <c r="J112" s="21"/>
      <c r="K112" s="22"/>
      <c r="L112" s="16" t="s">
        <v>151</v>
      </c>
      <c r="O112" s="8"/>
    </row>
    <row r="113">
      <c r="A113" s="9" t="str">
        <f t="shared" si="1"/>
        <v/>
      </c>
      <c r="B113" s="10"/>
      <c r="C113" s="11"/>
      <c r="D113" s="12"/>
      <c r="E113" s="11"/>
      <c r="F113" s="11"/>
      <c r="G113" s="19"/>
      <c r="H113" s="19"/>
      <c r="I113" s="20"/>
      <c r="J113" s="21"/>
      <c r="K113" s="22"/>
      <c r="L113" s="16" t="s">
        <v>151</v>
      </c>
      <c r="O113" s="8"/>
    </row>
    <row r="114">
      <c r="A114" s="9" t="str">
        <f t="shared" si="1"/>
        <v/>
      </c>
      <c r="B114" s="10"/>
      <c r="C114" s="11"/>
      <c r="D114" s="12"/>
      <c r="E114" s="11"/>
      <c r="F114" s="11"/>
      <c r="G114" s="19"/>
      <c r="H114" s="19"/>
      <c r="I114" s="20"/>
      <c r="J114" s="21"/>
      <c r="K114" s="22"/>
      <c r="L114" s="16" t="s">
        <v>151</v>
      </c>
      <c r="O114" s="8"/>
    </row>
    <row r="115">
      <c r="A115" s="9" t="str">
        <f t="shared" si="1"/>
        <v/>
      </c>
      <c r="B115" s="10"/>
      <c r="C115" s="11"/>
      <c r="D115" s="12"/>
      <c r="E115" s="11"/>
      <c r="F115" s="11"/>
      <c r="G115" s="19"/>
      <c r="H115" s="19"/>
      <c r="I115" s="20"/>
      <c r="J115" s="21"/>
      <c r="K115" s="22"/>
      <c r="L115" s="16" t="s">
        <v>151</v>
      </c>
      <c r="O115" s="8"/>
    </row>
    <row r="116">
      <c r="A116" s="9" t="str">
        <f t="shared" si="1"/>
        <v/>
      </c>
      <c r="B116" s="10"/>
      <c r="C116" s="11"/>
      <c r="D116" s="12"/>
      <c r="E116" s="11"/>
      <c r="F116" s="11"/>
      <c r="G116" s="19"/>
      <c r="H116" s="19"/>
      <c r="I116" s="20"/>
      <c r="J116" s="21"/>
      <c r="K116" s="22"/>
      <c r="L116" s="16" t="s">
        <v>151</v>
      </c>
      <c r="O116" s="8"/>
    </row>
    <row r="117">
      <c r="A117" s="9" t="str">
        <f t="shared" si="1"/>
        <v/>
      </c>
      <c r="B117" s="10"/>
      <c r="C117" s="11"/>
      <c r="D117" s="12"/>
      <c r="E117" s="11"/>
      <c r="F117" s="11"/>
      <c r="G117" s="19"/>
      <c r="H117" s="19"/>
      <c r="I117" s="20"/>
      <c r="J117" s="21"/>
      <c r="K117" s="22"/>
      <c r="L117" s="16" t="s">
        <v>151</v>
      </c>
      <c r="O117" s="8"/>
    </row>
    <row r="118">
      <c r="A118" s="9" t="str">
        <f t="shared" si="1"/>
        <v/>
      </c>
      <c r="B118" s="10"/>
      <c r="C118" s="11"/>
      <c r="D118" s="12"/>
      <c r="E118" s="11"/>
      <c r="F118" s="11"/>
      <c r="G118" s="19"/>
      <c r="H118" s="19"/>
      <c r="I118" s="20"/>
      <c r="J118" s="21"/>
      <c r="K118" s="22"/>
      <c r="L118" s="16" t="s">
        <v>151</v>
      </c>
      <c r="O118" s="8"/>
    </row>
    <row r="119">
      <c r="A119" s="9" t="str">
        <f t="shared" si="1"/>
        <v/>
      </c>
      <c r="B119" s="10"/>
      <c r="C119" s="11"/>
      <c r="D119" s="12"/>
      <c r="E119" s="11"/>
      <c r="F119" s="11"/>
      <c r="G119" s="19"/>
      <c r="H119" s="19"/>
      <c r="I119" s="20"/>
      <c r="J119" s="21"/>
      <c r="K119" s="22"/>
      <c r="L119" s="16" t="s">
        <v>151</v>
      </c>
      <c r="O119" s="8"/>
    </row>
    <row r="120">
      <c r="A120" s="9" t="str">
        <f t="shared" si="1"/>
        <v/>
      </c>
      <c r="B120" s="10"/>
      <c r="C120" s="11"/>
      <c r="D120" s="12"/>
      <c r="E120" s="11"/>
      <c r="F120" s="11"/>
      <c r="G120" s="19"/>
      <c r="H120" s="19"/>
      <c r="I120" s="20"/>
      <c r="J120" s="21"/>
      <c r="K120" s="22"/>
      <c r="L120" s="16" t="s">
        <v>151</v>
      </c>
      <c r="O120" s="8"/>
    </row>
    <row r="121">
      <c r="A121" s="9" t="str">
        <f t="shared" si="1"/>
        <v/>
      </c>
      <c r="B121" s="10"/>
      <c r="C121" s="11"/>
      <c r="D121" s="12"/>
      <c r="E121" s="11"/>
      <c r="F121" s="11"/>
      <c r="G121" s="19"/>
      <c r="H121" s="19"/>
      <c r="I121" s="20"/>
      <c r="J121" s="21"/>
      <c r="K121" s="22"/>
      <c r="L121" s="16" t="s">
        <v>151</v>
      </c>
      <c r="O121" s="8"/>
    </row>
    <row r="122">
      <c r="A122" s="9" t="str">
        <f t="shared" si="1"/>
        <v/>
      </c>
      <c r="B122" s="10"/>
      <c r="C122" s="11"/>
      <c r="D122" s="12"/>
      <c r="E122" s="11"/>
      <c r="F122" s="11"/>
      <c r="G122" s="19"/>
      <c r="H122" s="19"/>
      <c r="I122" s="20"/>
      <c r="J122" s="21"/>
      <c r="K122" s="22"/>
      <c r="L122" s="16" t="s">
        <v>151</v>
      </c>
      <c r="O122" s="8"/>
    </row>
    <row r="123">
      <c r="A123" s="9" t="str">
        <f t="shared" si="1"/>
        <v/>
      </c>
      <c r="B123" s="10"/>
      <c r="C123" s="11"/>
      <c r="D123" s="12"/>
      <c r="E123" s="11"/>
      <c r="F123" s="11"/>
      <c r="G123" s="19"/>
      <c r="H123" s="19"/>
      <c r="I123" s="20"/>
      <c r="J123" s="21"/>
      <c r="K123" s="22"/>
      <c r="L123" s="16" t="s">
        <v>151</v>
      </c>
      <c r="O123" s="8"/>
    </row>
    <row r="124">
      <c r="A124" s="9" t="str">
        <f t="shared" si="1"/>
        <v/>
      </c>
      <c r="B124" s="10"/>
      <c r="C124" s="11"/>
      <c r="D124" s="12"/>
      <c r="E124" s="11"/>
      <c r="F124" s="11"/>
      <c r="G124" s="19"/>
      <c r="H124" s="19"/>
      <c r="I124" s="20"/>
      <c r="J124" s="21"/>
      <c r="K124" s="22"/>
      <c r="L124" s="24"/>
      <c r="O124" s="8"/>
    </row>
    <row r="125">
      <c r="A125" s="9" t="str">
        <f t="shared" si="1"/>
        <v/>
      </c>
      <c r="B125" s="10"/>
      <c r="C125" s="11"/>
      <c r="D125" s="12"/>
      <c r="E125" s="11"/>
      <c r="F125" s="11"/>
      <c r="G125" s="19"/>
      <c r="H125" s="19"/>
      <c r="I125" s="20"/>
      <c r="J125" s="21"/>
      <c r="K125" s="22"/>
      <c r="L125" s="24"/>
      <c r="O125" s="8"/>
    </row>
    <row r="126">
      <c r="A126" s="9" t="str">
        <f t="shared" si="1"/>
        <v/>
      </c>
      <c r="B126" s="10"/>
      <c r="C126" s="11"/>
      <c r="D126" s="12"/>
      <c r="E126" s="11"/>
      <c r="F126" s="11"/>
      <c r="G126" s="19"/>
      <c r="H126" s="19"/>
      <c r="I126" s="20"/>
      <c r="J126" s="21"/>
      <c r="K126" s="22"/>
      <c r="L126" s="24"/>
      <c r="O126" s="8"/>
    </row>
    <row r="127">
      <c r="A127" s="9" t="str">
        <f t="shared" si="1"/>
        <v/>
      </c>
      <c r="B127" s="10"/>
      <c r="C127" s="11"/>
      <c r="D127" s="12"/>
      <c r="E127" s="11"/>
      <c r="F127" s="11"/>
      <c r="G127" s="19"/>
      <c r="H127" s="19"/>
      <c r="I127" s="20"/>
      <c r="J127" s="21"/>
      <c r="K127" s="22"/>
      <c r="L127" s="24"/>
      <c r="O127" s="8"/>
    </row>
    <row r="128">
      <c r="A128" s="9" t="str">
        <f t="shared" si="1"/>
        <v/>
      </c>
      <c r="B128" s="10"/>
      <c r="C128" s="11"/>
      <c r="D128" s="12"/>
      <c r="E128" s="11"/>
      <c r="F128" s="11"/>
      <c r="G128" s="19"/>
      <c r="H128" s="19"/>
      <c r="I128" s="20"/>
      <c r="J128" s="21"/>
      <c r="K128" s="22"/>
      <c r="L128" s="24"/>
      <c r="O128" s="8"/>
    </row>
    <row r="129">
      <c r="A129" s="9" t="str">
        <f t="shared" si="1"/>
        <v/>
      </c>
      <c r="B129" s="10"/>
      <c r="C129" s="11"/>
      <c r="D129" s="12"/>
      <c r="E129" s="11"/>
      <c r="F129" s="11"/>
      <c r="G129" s="19"/>
      <c r="H129" s="19"/>
      <c r="I129" s="20"/>
      <c r="J129" s="21"/>
      <c r="K129" s="22"/>
      <c r="L129" s="24"/>
      <c r="O129" s="8"/>
    </row>
    <row r="130">
      <c r="A130" s="9" t="str">
        <f t="shared" si="1"/>
        <v/>
      </c>
      <c r="B130" s="10"/>
      <c r="C130" s="11"/>
      <c r="D130" s="12"/>
      <c r="E130" s="11"/>
      <c r="F130" s="11"/>
      <c r="G130" s="19"/>
      <c r="H130" s="19"/>
      <c r="I130" s="20"/>
      <c r="J130" s="21"/>
      <c r="K130" s="22"/>
      <c r="L130" s="24"/>
      <c r="O130" s="8"/>
    </row>
    <row r="131">
      <c r="A131" s="9" t="str">
        <f t="shared" si="1"/>
        <v/>
      </c>
      <c r="B131" s="10"/>
      <c r="C131" s="11"/>
      <c r="D131" s="12"/>
      <c r="E131" s="11"/>
      <c r="F131" s="11"/>
      <c r="G131" s="19"/>
      <c r="H131" s="19"/>
      <c r="I131" s="20"/>
      <c r="J131" s="21"/>
      <c r="K131" s="22"/>
      <c r="L131" s="24"/>
      <c r="O131" s="8"/>
    </row>
    <row r="132">
      <c r="A132" s="9" t="str">
        <f t="shared" si="1"/>
        <v/>
      </c>
      <c r="B132" s="10"/>
      <c r="C132" s="11"/>
      <c r="D132" s="12"/>
      <c r="E132" s="11"/>
      <c r="F132" s="11"/>
      <c r="G132" s="19"/>
      <c r="H132" s="19"/>
      <c r="I132" s="20"/>
      <c r="J132" s="21"/>
      <c r="K132" s="22"/>
      <c r="L132" s="24"/>
      <c r="O132" s="8"/>
    </row>
    <row r="133">
      <c r="A133" s="9" t="str">
        <f t="shared" si="1"/>
        <v/>
      </c>
      <c r="B133" s="10"/>
      <c r="C133" s="11"/>
      <c r="D133" s="12"/>
      <c r="E133" s="11"/>
      <c r="F133" s="11"/>
      <c r="G133" s="19"/>
      <c r="H133" s="19"/>
      <c r="I133" s="20"/>
      <c r="J133" s="21"/>
      <c r="K133" s="22"/>
      <c r="L133" s="24"/>
      <c r="O133" s="8"/>
    </row>
    <row r="134">
      <c r="A134" s="9" t="str">
        <f t="shared" si="1"/>
        <v/>
      </c>
      <c r="B134" s="10"/>
      <c r="C134" s="11"/>
      <c r="D134" s="12"/>
      <c r="E134" s="11"/>
      <c r="F134" s="11"/>
      <c r="G134" s="19"/>
      <c r="H134" s="19"/>
      <c r="I134" s="20"/>
      <c r="J134" s="21"/>
      <c r="K134" s="22"/>
      <c r="L134" s="24"/>
      <c r="O134" s="8"/>
    </row>
    <row r="135">
      <c r="A135" s="9" t="str">
        <f t="shared" si="1"/>
        <v/>
      </c>
      <c r="B135" s="10"/>
      <c r="C135" s="11"/>
      <c r="D135" s="12"/>
      <c r="E135" s="11"/>
      <c r="F135" s="11"/>
      <c r="G135" s="19"/>
      <c r="H135" s="19"/>
      <c r="I135" s="20"/>
      <c r="J135" s="21"/>
      <c r="K135" s="22"/>
      <c r="L135" s="24"/>
      <c r="O135" s="8"/>
    </row>
    <row r="136">
      <c r="A136" s="9" t="str">
        <f t="shared" si="1"/>
        <v/>
      </c>
      <c r="B136" s="10"/>
      <c r="C136" s="11"/>
      <c r="D136" s="12"/>
      <c r="E136" s="11"/>
      <c r="F136" s="11"/>
      <c r="G136" s="19"/>
      <c r="H136" s="19"/>
      <c r="I136" s="20"/>
      <c r="J136" s="21"/>
      <c r="K136" s="22"/>
      <c r="L136" s="24"/>
      <c r="O136" s="8"/>
    </row>
    <row r="137">
      <c r="A137" s="9" t="str">
        <f t="shared" si="1"/>
        <v/>
      </c>
      <c r="B137" s="10"/>
      <c r="C137" s="11"/>
      <c r="D137" s="12"/>
      <c r="E137" s="11"/>
      <c r="F137" s="11"/>
      <c r="G137" s="19"/>
      <c r="H137" s="19"/>
      <c r="I137" s="20"/>
      <c r="J137" s="21"/>
      <c r="K137" s="22"/>
      <c r="L137" s="24"/>
      <c r="O137" s="8"/>
    </row>
    <row r="138">
      <c r="A138" s="9" t="str">
        <f t="shared" si="1"/>
        <v/>
      </c>
      <c r="B138" s="10"/>
      <c r="C138" s="11"/>
      <c r="D138" s="12"/>
      <c r="E138" s="11"/>
      <c r="F138" s="11"/>
      <c r="G138" s="19"/>
      <c r="H138" s="19"/>
      <c r="I138" s="20"/>
      <c r="J138" s="21"/>
      <c r="K138" s="22"/>
      <c r="L138" s="24"/>
      <c r="O138" s="8"/>
    </row>
    <row r="139">
      <c r="A139" s="9" t="str">
        <f t="shared" si="1"/>
        <v/>
      </c>
      <c r="B139" s="10"/>
      <c r="C139" s="11"/>
      <c r="D139" s="12"/>
      <c r="E139" s="11"/>
      <c r="F139" s="11"/>
      <c r="G139" s="19"/>
      <c r="H139" s="19"/>
      <c r="I139" s="20"/>
      <c r="J139" s="21"/>
      <c r="K139" s="22"/>
      <c r="L139" s="24"/>
      <c r="O139" s="8"/>
    </row>
    <row r="140">
      <c r="A140" s="9"/>
      <c r="B140" s="10"/>
      <c r="C140" s="11"/>
      <c r="D140" s="12"/>
      <c r="E140" s="11"/>
      <c r="F140" s="11"/>
      <c r="G140" s="19"/>
      <c r="H140" s="19"/>
      <c r="I140" s="20"/>
      <c r="J140" s="21"/>
      <c r="K140" s="22"/>
      <c r="L140" s="24"/>
      <c r="O140" s="8"/>
    </row>
    <row r="141">
      <c r="A141" s="9"/>
      <c r="B141" s="10"/>
      <c r="C141" s="11"/>
      <c r="D141" s="12"/>
      <c r="E141" s="11"/>
      <c r="F141" s="11"/>
      <c r="G141" s="19"/>
      <c r="H141" s="19"/>
      <c r="I141" s="20"/>
      <c r="J141" s="21"/>
      <c r="K141" s="22"/>
      <c r="L141" s="24"/>
      <c r="O141" s="8"/>
    </row>
    <row r="142">
      <c r="A142" s="9"/>
      <c r="B142" s="10"/>
      <c r="C142" s="11"/>
      <c r="D142" s="12"/>
      <c r="E142" s="11"/>
      <c r="F142" s="11"/>
      <c r="G142" s="19"/>
      <c r="H142" s="19"/>
      <c r="I142" s="20"/>
      <c r="J142" s="21"/>
      <c r="K142" s="22"/>
      <c r="L142" s="24"/>
      <c r="O142" s="8"/>
    </row>
    <row r="143">
      <c r="A143" s="9"/>
      <c r="B143" s="10"/>
      <c r="C143" s="11"/>
      <c r="D143" s="12"/>
      <c r="E143" s="11"/>
      <c r="F143" s="11"/>
      <c r="G143" s="19"/>
      <c r="H143" s="19"/>
      <c r="I143" s="20"/>
      <c r="J143" s="21"/>
      <c r="K143" s="22"/>
      <c r="L143" s="24"/>
      <c r="O143" s="8"/>
    </row>
    <row r="144">
      <c r="A144" s="9"/>
      <c r="B144" s="10"/>
      <c r="C144" s="11"/>
      <c r="D144" s="12"/>
      <c r="E144" s="11"/>
      <c r="F144" s="11"/>
      <c r="G144" s="19"/>
      <c r="H144" s="19"/>
      <c r="I144" s="20"/>
      <c r="J144" s="21"/>
      <c r="K144" s="22"/>
      <c r="L144" s="24"/>
      <c r="O144" s="8"/>
    </row>
    <row r="145">
      <c r="A145" s="9"/>
      <c r="B145" s="10"/>
      <c r="C145" s="11"/>
      <c r="D145" s="12"/>
      <c r="E145" s="11"/>
      <c r="F145" s="11"/>
      <c r="G145" s="19"/>
      <c r="H145" s="19"/>
      <c r="I145" s="20"/>
      <c r="J145" s="21"/>
      <c r="K145" s="22"/>
      <c r="L145" s="24"/>
      <c r="O145" s="8"/>
    </row>
    <row r="146">
      <c r="A146" s="9"/>
      <c r="B146" s="10"/>
      <c r="C146" s="11"/>
      <c r="D146" s="12"/>
      <c r="E146" s="11"/>
      <c r="F146" s="11"/>
      <c r="G146" s="19"/>
      <c r="H146" s="19"/>
      <c r="I146" s="20"/>
      <c r="J146" s="21"/>
      <c r="K146" s="22"/>
      <c r="L146" s="24"/>
      <c r="O146" s="8"/>
    </row>
    <row r="147">
      <c r="A147" s="9"/>
      <c r="B147" s="10"/>
      <c r="C147" s="11"/>
      <c r="D147" s="12"/>
      <c r="E147" s="11"/>
      <c r="F147" s="11"/>
      <c r="G147" s="19"/>
      <c r="H147" s="19"/>
      <c r="I147" s="20"/>
      <c r="J147" s="21"/>
      <c r="K147" s="22"/>
      <c r="L147" s="24"/>
      <c r="O147" s="8"/>
    </row>
    <row r="148">
      <c r="A148" s="9"/>
      <c r="B148" s="10"/>
      <c r="C148" s="11"/>
      <c r="D148" s="12"/>
      <c r="E148" s="11"/>
      <c r="F148" s="11"/>
      <c r="G148" s="19"/>
      <c r="H148" s="19"/>
      <c r="I148" s="20"/>
      <c r="J148" s="21"/>
      <c r="K148" s="22"/>
      <c r="L148" s="24"/>
      <c r="O148" s="8"/>
    </row>
    <row r="149">
      <c r="A149" s="9"/>
      <c r="B149" s="10"/>
      <c r="C149" s="11"/>
      <c r="D149" s="12"/>
      <c r="E149" s="11"/>
      <c r="F149" s="11"/>
      <c r="G149" s="19"/>
      <c r="H149" s="19"/>
      <c r="I149" s="20"/>
      <c r="J149" s="21"/>
      <c r="K149" s="22"/>
      <c r="L149" s="24"/>
      <c r="O149" s="8"/>
    </row>
    <row r="150">
      <c r="A150" s="9"/>
      <c r="B150" s="10"/>
      <c r="C150" s="11"/>
      <c r="D150" s="12"/>
      <c r="E150" s="11"/>
      <c r="F150" s="11"/>
      <c r="G150" s="19"/>
      <c r="H150" s="19"/>
      <c r="I150" s="20"/>
      <c r="J150" s="21"/>
      <c r="K150" s="22"/>
      <c r="L150" s="24"/>
      <c r="O150" s="8"/>
    </row>
    <row r="151">
      <c r="A151" s="9"/>
      <c r="B151" s="10"/>
      <c r="C151" s="11"/>
      <c r="D151" s="12"/>
      <c r="E151" s="11"/>
      <c r="F151" s="11"/>
      <c r="G151" s="19"/>
      <c r="H151" s="19"/>
      <c r="I151" s="20"/>
      <c r="J151" s="21"/>
      <c r="K151" s="22"/>
      <c r="L151" s="24"/>
      <c r="O151" s="8"/>
    </row>
    <row r="152">
      <c r="A152" s="9"/>
      <c r="B152" s="10"/>
      <c r="C152" s="11"/>
      <c r="D152" s="12"/>
      <c r="E152" s="11"/>
      <c r="F152" s="11"/>
      <c r="G152" s="19"/>
      <c r="H152" s="19"/>
      <c r="I152" s="20"/>
      <c r="J152" s="21"/>
      <c r="K152" s="22"/>
      <c r="L152" s="24"/>
      <c r="O152" s="8"/>
    </row>
    <row r="153">
      <c r="A153" s="9"/>
      <c r="B153" s="10"/>
      <c r="C153" s="11"/>
      <c r="D153" s="12"/>
      <c r="E153" s="11"/>
      <c r="F153" s="11"/>
      <c r="G153" s="19"/>
      <c r="H153" s="19"/>
      <c r="I153" s="20"/>
      <c r="J153" s="21"/>
      <c r="K153" s="22"/>
      <c r="L153" s="24"/>
      <c r="O153" s="8"/>
    </row>
    <row r="154">
      <c r="A154" s="9"/>
      <c r="B154" s="10"/>
      <c r="C154" s="11"/>
      <c r="D154" s="12"/>
      <c r="E154" s="11"/>
      <c r="F154" s="11"/>
      <c r="G154" s="19"/>
      <c r="H154" s="19"/>
      <c r="I154" s="20"/>
      <c r="J154" s="21"/>
      <c r="K154" s="22"/>
      <c r="L154" s="24"/>
      <c r="O154" s="8"/>
    </row>
    <row r="155">
      <c r="A155" s="9"/>
      <c r="B155" s="10"/>
      <c r="C155" s="11"/>
      <c r="D155" s="12"/>
      <c r="E155" s="11"/>
      <c r="F155" s="11"/>
      <c r="G155" s="19"/>
      <c r="H155" s="19"/>
      <c r="I155" s="20"/>
      <c r="J155" s="21"/>
      <c r="K155" s="22"/>
      <c r="L155" s="24"/>
      <c r="O155" s="8"/>
    </row>
    <row r="156">
      <c r="A156" s="9"/>
      <c r="B156" s="10"/>
      <c r="C156" s="11"/>
      <c r="D156" s="12"/>
      <c r="E156" s="11"/>
      <c r="F156" s="11"/>
      <c r="G156" s="19"/>
      <c r="H156" s="19"/>
      <c r="I156" s="20"/>
      <c r="J156" s="21"/>
      <c r="K156" s="22"/>
      <c r="L156" s="24"/>
      <c r="O156" s="8"/>
    </row>
    <row r="157">
      <c r="A157" s="9"/>
      <c r="B157" s="10"/>
      <c r="C157" s="11"/>
      <c r="D157" s="12"/>
      <c r="E157" s="11"/>
      <c r="F157" s="11"/>
      <c r="G157" s="19"/>
      <c r="H157" s="19"/>
      <c r="I157" s="20"/>
      <c r="J157" s="21"/>
      <c r="K157" s="22"/>
      <c r="L157" s="24"/>
      <c r="O157" s="8"/>
    </row>
    <row r="158">
      <c r="A158" s="9"/>
      <c r="B158" s="10"/>
      <c r="C158" s="11"/>
      <c r="D158" s="12"/>
      <c r="E158" s="11"/>
      <c r="F158" s="11"/>
      <c r="G158" s="19"/>
      <c r="H158" s="19"/>
      <c r="I158" s="20"/>
      <c r="J158" s="21"/>
      <c r="K158" s="22"/>
      <c r="L158" s="24"/>
      <c r="O158" s="8"/>
    </row>
    <row r="159">
      <c r="A159" s="9"/>
      <c r="B159" s="10"/>
      <c r="C159" s="11"/>
      <c r="D159" s="12"/>
      <c r="E159" s="11"/>
      <c r="F159" s="11"/>
      <c r="G159" s="19"/>
      <c r="H159" s="19"/>
      <c r="I159" s="20"/>
      <c r="J159" s="21"/>
      <c r="K159" s="22"/>
      <c r="L159" s="24"/>
      <c r="O159" s="8"/>
    </row>
    <row r="160">
      <c r="A160" s="9"/>
      <c r="B160" s="10"/>
      <c r="C160" s="11"/>
      <c r="D160" s="12"/>
      <c r="E160" s="11"/>
      <c r="F160" s="11"/>
      <c r="G160" s="19"/>
      <c r="H160" s="19"/>
      <c r="I160" s="20"/>
      <c r="J160" s="21"/>
      <c r="K160" s="22"/>
      <c r="L160" s="24"/>
      <c r="O160" s="8"/>
    </row>
    <row r="161">
      <c r="A161" s="9"/>
      <c r="B161" s="10"/>
      <c r="C161" s="11"/>
      <c r="D161" s="12"/>
      <c r="E161" s="11"/>
      <c r="F161" s="11"/>
      <c r="G161" s="19"/>
      <c r="H161" s="19"/>
      <c r="I161" s="20"/>
      <c r="J161" s="21"/>
      <c r="K161" s="22"/>
      <c r="L161" s="24"/>
      <c r="O161" s="8"/>
    </row>
    <row r="162">
      <c r="A162" s="9"/>
      <c r="B162" s="10"/>
      <c r="C162" s="11"/>
      <c r="D162" s="12"/>
      <c r="E162" s="11"/>
      <c r="F162" s="11"/>
      <c r="G162" s="19"/>
      <c r="H162" s="19"/>
      <c r="I162" s="20"/>
      <c r="J162" s="21"/>
      <c r="K162" s="22"/>
      <c r="L162" s="24"/>
      <c r="O162" s="8"/>
    </row>
    <row r="163">
      <c r="A163" s="9"/>
      <c r="B163" s="10"/>
      <c r="C163" s="11"/>
      <c r="D163" s="12"/>
      <c r="E163" s="11"/>
      <c r="F163" s="11"/>
      <c r="G163" s="19"/>
      <c r="H163" s="19"/>
      <c r="I163" s="20"/>
      <c r="J163" s="21"/>
      <c r="K163" s="22"/>
      <c r="L163" s="24"/>
      <c r="O163" s="8"/>
    </row>
    <row r="164">
      <c r="A164" s="9"/>
      <c r="B164" s="10"/>
      <c r="C164" s="11"/>
      <c r="D164" s="12"/>
      <c r="E164" s="11"/>
      <c r="F164" s="11"/>
      <c r="G164" s="19"/>
      <c r="H164" s="19"/>
      <c r="I164" s="20"/>
      <c r="J164" s="21"/>
      <c r="K164" s="22"/>
      <c r="L164" s="24"/>
      <c r="O164" s="8"/>
    </row>
    <row r="165">
      <c r="A165" s="9"/>
      <c r="B165" s="10"/>
      <c r="C165" s="11"/>
      <c r="D165" s="12"/>
      <c r="E165" s="11"/>
      <c r="F165" s="11"/>
      <c r="G165" s="19"/>
      <c r="H165" s="19"/>
      <c r="I165" s="20"/>
      <c r="J165" s="21"/>
      <c r="K165" s="22"/>
      <c r="L165" s="24"/>
      <c r="O165" s="8"/>
    </row>
    <row r="166">
      <c r="A166" s="9"/>
      <c r="B166" s="10"/>
      <c r="C166" s="11"/>
      <c r="D166" s="12"/>
      <c r="E166" s="11"/>
      <c r="F166" s="11"/>
      <c r="G166" s="19"/>
      <c r="H166" s="19"/>
      <c r="I166" s="20"/>
      <c r="J166" s="21"/>
      <c r="K166" s="22"/>
      <c r="L166" s="24"/>
      <c r="O166" s="8"/>
    </row>
    <row r="167">
      <c r="A167" s="9"/>
      <c r="B167" s="10"/>
      <c r="C167" s="11"/>
      <c r="D167" s="12"/>
      <c r="E167" s="11"/>
      <c r="F167" s="11"/>
      <c r="G167" s="19"/>
      <c r="H167" s="19"/>
      <c r="I167" s="20"/>
      <c r="J167" s="21"/>
      <c r="K167" s="22"/>
      <c r="L167" s="24"/>
      <c r="O167" s="8"/>
    </row>
    <row r="168">
      <c r="A168" s="9"/>
      <c r="B168" s="10"/>
      <c r="C168" s="11"/>
      <c r="D168" s="12"/>
      <c r="E168" s="11"/>
      <c r="F168" s="11"/>
      <c r="G168" s="19"/>
      <c r="H168" s="19"/>
      <c r="I168" s="20"/>
      <c r="J168" s="21"/>
      <c r="K168" s="22"/>
      <c r="L168" s="24"/>
      <c r="O168" s="8"/>
    </row>
    <row r="169">
      <c r="A169" s="9"/>
      <c r="B169" s="10"/>
      <c r="C169" s="11"/>
      <c r="D169" s="12"/>
      <c r="E169" s="11"/>
      <c r="F169" s="11"/>
      <c r="G169" s="19"/>
      <c r="H169" s="19"/>
      <c r="I169" s="20"/>
      <c r="J169" s="21"/>
      <c r="K169" s="22"/>
      <c r="L169" s="24"/>
      <c r="O169" s="8"/>
    </row>
    <row r="170">
      <c r="A170" s="9"/>
      <c r="B170" s="10"/>
      <c r="C170" s="11"/>
      <c r="D170" s="12"/>
      <c r="E170" s="11"/>
      <c r="F170" s="11"/>
      <c r="G170" s="19"/>
      <c r="H170" s="19"/>
      <c r="I170" s="20"/>
      <c r="J170" s="21"/>
      <c r="K170" s="22"/>
      <c r="L170" s="24"/>
      <c r="O170" s="8"/>
    </row>
    <row r="171">
      <c r="A171" s="9"/>
      <c r="B171" s="10"/>
      <c r="C171" s="11"/>
      <c r="D171" s="12"/>
      <c r="E171" s="11"/>
      <c r="F171" s="11"/>
      <c r="G171" s="19"/>
      <c r="H171" s="19"/>
      <c r="I171" s="20"/>
      <c r="J171" s="21"/>
      <c r="K171" s="22"/>
      <c r="L171" s="24"/>
      <c r="O171" s="8"/>
    </row>
    <row r="172">
      <c r="A172" s="9"/>
      <c r="B172" s="25"/>
      <c r="C172" s="26"/>
      <c r="D172" s="27"/>
      <c r="E172" s="26"/>
      <c r="F172" s="26"/>
      <c r="G172" s="28"/>
      <c r="H172" s="28"/>
      <c r="I172" s="29"/>
      <c r="J172" s="30"/>
      <c r="K172" s="31"/>
      <c r="L172" s="24"/>
      <c r="O172" s="8"/>
    </row>
    <row r="173">
      <c r="A173" s="9"/>
      <c r="J173" s="32"/>
      <c r="K173" s="33"/>
      <c r="L173" s="24"/>
      <c r="O173" s="8"/>
    </row>
    <row r="174">
      <c r="A174" s="9"/>
      <c r="J174" s="32"/>
      <c r="K174" s="33"/>
      <c r="L174" s="24"/>
      <c r="O174" s="8"/>
    </row>
    <row r="175">
      <c r="A175" s="9"/>
      <c r="J175" s="32"/>
      <c r="K175" s="33"/>
      <c r="L175" s="24"/>
      <c r="O175" s="8"/>
    </row>
    <row r="176">
      <c r="A176" s="9"/>
      <c r="J176" s="32"/>
      <c r="K176" s="33"/>
      <c r="L176" s="24"/>
      <c r="O176" s="8"/>
    </row>
    <row r="177">
      <c r="A177" s="9"/>
      <c r="J177" s="32"/>
      <c r="K177" s="33"/>
      <c r="L177" s="24"/>
      <c r="O177" s="8"/>
    </row>
    <row r="178">
      <c r="A178" s="9"/>
      <c r="J178" s="32"/>
      <c r="K178" s="33"/>
      <c r="L178" s="24"/>
      <c r="O178" s="8"/>
    </row>
    <row r="179">
      <c r="A179" s="9"/>
      <c r="J179" s="32"/>
      <c r="K179" s="33"/>
      <c r="L179" s="24"/>
      <c r="O179" s="8"/>
    </row>
    <row r="180">
      <c r="A180" s="9"/>
      <c r="J180" s="32"/>
      <c r="K180" s="33"/>
      <c r="L180" s="24"/>
      <c r="O180" s="8"/>
    </row>
    <row r="181">
      <c r="A181" s="9"/>
      <c r="J181" s="32"/>
      <c r="K181" s="33"/>
      <c r="L181" s="24"/>
      <c r="O181" s="8"/>
    </row>
    <row r="182">
      <c r="A182" s="9"/>
      <c r="J182" s="32"/>
      <c r="K182" s="33"/>
      <c r="L182" s="24"/>
      <c r="O182" s="8"/>
    </row>
    <row r="183">
      <c r="A183" s="9"/>
      <c r="J183" s="32"/>
      <c r="K183" s="33"/>
      <c r="L183" s="24"/>
      <c r="O183" s="8"/>
    </row>
    <row r="184">
      <c r="A184" s="9"/>
      <c r="J184" s="32"/>
      <c r="K184" s="33"/>
      <c r="L184" s="24"/>
      <c r="O184" s="8"/>
    </row>
    <row r="185">
      <c r="A185" s="9"/>
      <c r="J185" s="32"/>
      <c r="K185" s="33"/>
      <c r="L185" s="24"/>
      <c r="O185" s="8"/>
    </row>
    <row r="186">
      <c r="A186" s="9"/>
      <c r="J186" s="32"/>
      <c r="K186" s="33"/>
      <c r="L186" s="24"/>
      <c r="O186" s="8"/>
    </row>
    <row r="187">
      <c r="A187" s="9"/>
      <c r="J187" s="32"/>
      <c r="K187" s="33"/>
      <c r="L187" s="24"/>
      <c r="O187" s="8"/>
    </row>
    <row r="188">
      <c r="A188" s="9"/>
      <c r="J188" s="32"/>
      <c r="K188" s="33"/>
      <c r="L188" s="24"/>
      <c r="O188" s="8"/>
    </row>
    <row r="189">
      <c r="A189" s="9"/>
      <c r="J189" s="32"/>
      <c r="K189" s="33"/>
      <c r="L189" s="24"/>
      <c r="O189" s="8"/>
    </row>
    <row r="190">
      <c r="A190" s="9"/>
      <c r="J190" s="32"/>
      <c r="K190" s="33"/>
      <c r="L190" s="24"/>
      <c r="O190" s="8"/>
    </row>
    <row r="191">
      <c r="A191" s="9"/>
      <c r="J191" s="32"/>
      <c r="K191" s="33"/>
      <c r="L191" s="24"/>
      <c r="O191" s="8"/>
    </row>
    <row r="192">
      <c r="A192" s="9"/>
      <c r="J192" s="32"/>
      <c r="K192" s="33"/>
      <c r="L192" s="24"/>
      <c r="O192" s="8"/>
    </row>
    <row r="193">
      <c r="A193" s="9"/>
      <c r="J193" s="32"/>
      <c r="K193" s="33"/>
      <c r="L193" s="24"/>
      <c r="O193" s="8"/>
    </row>
    <row r="194">
      <c r="A194" s="9"/>
      <c r="J194" s="32"/>
      <c r="K194" s="33"/>
      <c r="L194" s="24"/>
      <c r="O194" s="8"/>
    </row>
    <row r="195">
      <c r="A195" s="9"/>
      <c r="J195" s="32"/>
      <c r="K195" s="33"/>
      <c r="L195" s="24"/>
      <c r="O195" s="8"/>
    </row>
    <row r="196">
      <c r="A196" s="9"/>
      <c r="J196" s="32"/>
      <c r="K196" s="33"/>
      <c r="L196" s="24"/>
      <c r="O196" s="8"/>
    </row>
    <row r="197">
      <c r="A197" s="9"/>
      <c r="J197" s="32"/>
      <c r="K197" s="33"/>
      <c r="L197" s="24"/>
      <c r="O197" s="8"/>
    </row>
    <row r="198">
      <c r="A198" s="9"/>
      <c r="J198" s="32"/>
      <c r="K198" s="33"/>
      <c r="L198" s="24"/>
      <c r="O198" s="8"/>
    </row>
    <row r="199">
      <c r="A199" s="9"/>
      <c r="J199" s="32"/>
      <c r="K199" s="33"/>
      <c r="L199" s="24"/>
      <c r="O199" s="8"/>
    </row>
    <row r="200">
      <c r="A200" s="9"/>
      <c r="J200" s="32"/>
      <c r="K200" s="33"/>
      <c r="L200" s="24"/>
      <c r="O200" s="8"/>
    </row>
    <row r="201">
      <c r="A201" s="9"/>
      <c r="J201" s="32"/>
      <c r="K201" s="33"/>
      <c r="L201" s="24"/>
      <c r="O201" s="8"/>
    </row>
    <row r="202">
      <c r="A202" s="9"/>
      <c r="J202" s="32"/>
      <c r="K202" s="33"/>
      <c r="L202" s="24"/>
      <c r="O202" s="8"/>
    </row>
    <row r="203">
      <c r="A203" s="9"/>
      <c r="J203" s="32"/>
      <c r="K203" s="33"/>
      <c r="L203" s="24"/>
      <c r="O203" s="8"/>
    </row>
    <row r="204">
      <c r="A204" s="9"/>
      <c r="J204" s="32"/>
      <c r="K204" s="33"/>
      <c r="L204" s="24"/>
      <c r="O204" s="8"/>
    </row>
    <row r="205">
      <c r="A205" s="9"/>
      <c r="J205" s="32"/>
      <c r="K205" s="33"/>
      <c r="L205" s="24"/>
      <c r="O205" s="8"/>
    </row>
    <row r="206">
      <c r="A206" s="9"/>
      <c r="J206" s="32"/>
      <c r="K206" s="33"/>
      <c r="L206" s="24"/>
      <c r="O206" s="8"/>
    </row>
    <row r="207">
      <c r="A207" s="9"/>
      <c r="J207" s="32"/>
      <c r="K207" s="33"/>
      <c r="L207" s="24"/>
      <c r="O207" s="8"/>
    </row>
    <row r="208">
      <c r="A208" s="9"/>
      <c r="J208" s="32"/>
      <c r="K208" s="33"/>
      <c r="L208" s="24"/>
      <c r="O208" s="8"/>
    </row>
    <row r="209">
      <c r="A209" s="9"/>
      <c r="J209" s="32"/>
      <c r="K209" s="33"/>
      <c r="L209" s="24"/>
      <c r="O209" s="8"/>
    </row>
    <row r="210">
      <c r="A210" s="9"/>
      <c r="J210" s="32"/>
      <c r="K210" s="33"/>
      <c r="L210" s="24"/>
      <c r="O210" s="8"/>
    </row>
    <row r="211">
      <c r="A211" s="9"/>
      <c r="J211" s="32"/>
      <c r="K211" s="33"/>
      <c r="L211" s="24"/>
      <c r="O211" s="8"/>
    </row>
    <row r="212">
      <c r="A212" s="9"/>
      <c r="J212" s="32"/>
      <c r="K212" s="33"/>
      <c r="L212" s="24"/>
      <c r="O212" s="8"/>
    </row>
    <row r="213">
      <c r="A213" s="9"/>
      <c r="J213" s="32"/>
      <c r="K213" s="33"/>
      <c r="L213" s="24"/>
      <c r="O213" s="8"/>
    </row>
    <row r="214">
      <c r="A214" s="9"/>
      <c r="J214" s="32"/>
      <c r="K214" s="33"/>
      <c r="L214" s="24"/>
      <c r="O214" s="8"/>
    </row>
    <row r="215">
      <c r="A215" s="9"/>
      <c r="J215" s="32"/>
      <c r="K215" s="33"/>
      <c r="L215" s="24"/>
      <c r="O215" s="8"/>
    </row>
    <row r="216">
      <c r="A216" s="9"/>
      <c r="J216" s="32"/>
      <c r="K216" s="33"/>
      <c r="L216" s="24"/>
      <c r="O216" s="8"/>
    </row>
    <row r="217">
      <c r="A217" s="9"/>
      <c r="J217" s="32"/>
      <c r="K217" s="33"/>
      <c r="L217" s="24"/>
      <c r="O217" s="8"/>
    </row>
    <row r="218">
      <c r="A218" s="9"/>
      <c r="J218" s="32"/>
      <c r="K218" s="33"/>
      <c r="L218" s="24"/>
      <c r="O218" s="8"/>
    </row>
    <row r="219">
      <c r="A219" s="9"/>
      <c r="J219" s="32"/>
      <c r="K219" s="33"/>
      <c r="L219" s="24"/>
      <c r="O219" s="8"/>
    </row>
    <row r="220">
      <c r="A220" s="9"/>
      <c r="J220" s="32"/>
      <c r="K220" s="33"/>
      <c r="L220" s="24"/>
      <c r="O220" s="8"/>
    </row>
    <row r="221">
      <c r="A221" s="9"/>
      <c r="J221" s="32"/>
      <c r="K221" s="33"/>
      <c r="L221" s="24"/>
      <c r="O221" s="8"/>
    </row>
    <row r="222">
      <c r="A222" s="9"/>
      <c r="J222" s="32"/>
      <c r="K222" s="33"/>
      <c r="L222" s="24"/>
      <c r="O222" s="8"/>
    </row>
    <row r="223">
      <c r="A223" s="9"/>
      <c r="J223" s="32"/>
      <c r="K223" s="33"/>
      <c r="L223" s="24"/>
      <c r="O223" s="8"/>
    </row>
    <row r="224">
      <c r="A224" s="9"/>
      <c r="J224" s="32"/>
      <c r="K224" s="33"/>
      <c r="L224" s="24"/>
      <c r="O224" s="8"/>
    </row>
    <row r="225">
      <c r="A225" s="9"/>
      <c r="J225" s="32"/>
      <c r="K225" s="33"/>
      <c r="L225" s="24"/>
      <c r="O225" s="8"/>
    </row>
    <row r="226">
      <c r="A226" s="9"/>
      <c r="J226" s="32"/>
      <c r="K226" s="33"/>
      <c r="L226" s="24"/>
      <c r="O226" s="8"/>
    </row>
    <row r="227">
      <c r="A227" s="9"/>
      <c r="J227" s="32"/>
      <c r="K227" s="33"/>
      <c r="L227" s="24"/>
      <c r="O227" s="8"/>
    </row>
    <row r="228">
      <c r="A228" s="9"/>
      <c r="J228" s="32"/>
      <c r="K228" s="33"/>
      <c r="L228" s="24"/>
      <c r="O228" s="8"/>
    </row>
    <row r="229">
      <c r="A229" s="9"/>
      <c r="J229" s="32"/>
      <c r="K229" s="33"/>
      <c r="L229" s="24"/>
      <c r="O229" s="8"/>
    </row>
    <row r="230">
      <c r="A230" s="9"/>
      <c r="J230" s="32"/>
      <c r="K230" s="33"/>
      <c r="L230" s="24"/>
      <c r="O230" s="8"/>
    </row>
    <row r="231">
      <c r="A231" s="9"/>
      <c r="J231" s="32"/>
      <c r="K231" s="33"/>
      <c r="L231" s="24"/>
      <c r="O231" s="8"/>
    </row>
    <row r="232">
      <c r="A232" s="9"/>
      <c r="J232" s="32"/>
      <c r="K232" s="33"/>
      <c r="L232" s="24"/>
      <c r="O232" s="8"/>
    </row>
    <row r="233">
      <c r="A233" s="9"/>
      <c r="J233" s="32"/>
      <c r="K233" s="33"/>
      <c r="L233" s="24"/>
      <c r="O233" s="8"/>
    </row>
    <row r="234">
      <c r="A234" s="9"/>
      <c r="J234" s="32"/>
      <c r="K234" s="33"/>
      <c r="L234" s="24"/>
      <c r="O234" s="8"/>
    </row>
    <row r="235">
      <c r="A235" s="9"/>
      <c r="J235" s="32"/>
      <c r="K235" s="33"/>
      <c r="L235" s="24"/>
      <c r="O235" s="8"/>
    </row>
    <row r="236">
      <c r="A236" s="9"/>
      <c r="J236" s="32"/>
      <c r="K236" s="33"/>
      <c r="L236" s="24"/>
      <c r="O236" s="8"/>
    </row>
    <row r="237">
      <c r="A237" s="9"/>
      <c r="J237" s="32"/>
      <c r="K237" s="33"/>
      <c r="L237" s="24"/>
      <c r="O237" s="8"/>
    </row>
    <row r="238">
      <c r="A238" s="9"/>
      <c r="J238" s="32"/>
      <c r="K238" s="33"/>
      <c r="L238" s="24"/>
      <c r="O238" s="8"/>
    </row>
    <row r="239">
      <c r="A239" s="9"/>
      <c r="J239" s="32"/>
      <c r="K239" s="33"/>
      <c r="L239" s="24"/>
      <c r="O239" s="8"/>
    </row>
    <row r="240">
      <c r="A240" s="9"/>
      <c r="J240" s="32"/>
      <c r="K240" s="33"/>
      <c r="L240" s="24"/>
      <c r="O240" s="8"/>
    </row>
    <row r="241">
      <c r="A241" s="9"/>
      <c r="J241" s="32"/>
      <c r="K241" s="33"/>
      <c r="L241" s="24"/>
      <c r="O241" s="8"/>
    </row>
    <row r="242">
      <c r="A242" s="9"/>
      <c r="J242" s="32"/>
      <c r="K242" s="33"/>
      <c r="L242" s="24"/>
      <c r="O242" s="8"/>
    </row>
    <row r="243">
      <c r="A243" s="9"/>
      <c r="J243" s="32"/>
      <c r="K243" s="33"/>
      <c r="L243" s="24"/>
      <c r="O243" s="8"/>
    </row>
    <row r="244">
      <c r="A244" s="9"/>
      <c r="J244" s="32"/>
      <c r="K244" s="33"/>
      <c r="L244" s="24"/>
      <c r="O244" s="8"/>
    </row>
    <row r="245">
      <c r="A245" s="9"/>
      <c r="J245" s="32"/>
      <c r="K245" s="33"/>
      <c r="L245" s="24"/>
      <c r="O245" s="8"/>
    </row>
    <row r="246">
      <c r="A246" s="9"/>
      <c r="J246" s="32"/>
      <c r="K246" s="33"/>
      <c r="L246" s="24"/>
      <c r="O246" s="8"/>
    </row>
    <row r="247">
      <c r="A247" s="9"/>
      <c r="J247" s="32"/>
      <c r="K247" s="33"/>
      <c r="L247" s="24"/>
      <c r="O247" s="8"/>
    </row>
    <row r="248">
      <c r="A248" s="9"/>
      <c r="J248" s="32"/>
      <c r="K248" s="33"/>
      <c r="L248" s="24"/>
      <c r="O248" s="8"/>
    </row>
    <row r="249">
      <c r="A249" s="9"/>
      <c r="J249" s="32"/>
      <c r="K249" s="33"/>
      <c r="L249" s="24"/>
      <c r="O249" s="8"/>
    </row>
    <row r="250">
      <c r="A250" s="9"/>
      <c r="J250" s="32"/>
      <c r="K250" s="33"/>
      <c r="L250" s="24"/>
      <c r="O250" s="8"/>
    </row>
    <row r="251">
      <c r="A251" s="9"/>
      <c r="J251" s="32"/>
      <c r="K251" s="33"/>
      <c r="L251" s="24"/>
      <c r="O251" s="8"/>
    </row>
    <row r="252">
      <c r="A252" s="9"/>
      <c r="J252" s="32"/>
      <c r="K252" s="33"/>
      <c r="L252" s="24"/>
      <c r="O252" s="8"/>
    </row>
    <row r="253">
      <c r="A253" s="9"/>
      <c r="J253" s="32"/>
      <c r="K253" s="33"/>
      <c r="L253" s="24"/>
      <c r="O253" s="8"/>
    </row>
    <row r="254">
      <c r="A254" s="9"/>
      <c r="J254" s="32"/>
      <c r="K254" s="33"/>
      <c r="L254" s="24"/>
      <c r="O254" s="8"/>
    </row>
    <row r="255">
      <c r="A255" s="9"/>
      <c r="J255" s="32"/>
      <c r="K255" s="33"/>
      <c r="L255" s="24"/>
      <c r="O255" s="8"/>
    </row>
    <row r="256">
      <c r="A256" s="9"/>
      <c r="J256" s="32"/>
      <c r="K256" s="33"/>
      <c r="L256" s="24"/>
      <c r="O256" s="8"/>
    </row>
    <row r="257">
      <c r="A257" s="9"/>
      <c r="J257" s="32"/>
      <c r="K257" s="33"/>
      <c r="L257" s="24"/>
      <c r="O257" s="8"/>
    </row>
    <row r="258">
      <c r="A258" s="9"/>
      <c r="J258" s="32"/>
      <c r="K258" s="33"/>
      <c r="L258" s="24"/>
      <c r="O258" s="8"/>
    </row>
    <row r="259">
      <c r="A259" s="9"/>
      <c r="J259" s="32"/>
      <c r="K259" s="33"/>
      <c r="L259" s="24"/>
      <c r="O259" s="8"/>
    </row>
    <row r="260">
      <c r="A260" s="9"/>
      <c r="J260" s="32"/>
      <c r="K260" s="33"/>
      <c r="L260" s="24"/>
      <c r="O260" s="8"/>
    </row>
    <row r="261">
      <c r="A261" s="9"/>
      <c r="J261" s="32"/>
      <c r="K261" s="33"/>
      <c r="L261" s="24"/>
      <c r="O261" s="8"/>
    </row>
    <row r="262">
      <c r="A262" s="9"/>
      <c r="J262" s="32"/>
      <c r="K262" s="33"/>
      <c r="L262" s="24"/>
      <c r="O262" s="8"/>
    </row>
    <row r="263">
      <c r="A263" s="9"/>
      <c r="J263" s="32"/>
      <c r="K263" s="33"/>
      <c r="L263" s="24"/>
      <c r="O263" s="8"/>
    </row>
    <row r="264">
      <c r="A264" s="9"/>
      <c r="J264" s="32"/>
      <c r="K264" s="33"/>
      <c r="L264" s="24"/>
      <c r="O264" s="8"/>
    </row>
    <row r="265">
      <c r="A265" s="9"/>
      <c r="J265" s="32"/>
      <c r="K265" s="33"/>
      <c r="L265" s="24"/>
      <c r="O265" s="8"/>
    </row>
    <row r="266">
      <c r="A266" s="9"/>
      <c r="J266" s="32"/>
      <c r="K266" s="33"/>
      <c r="L266" s="24"/>
      <c r="O266" s="8"/>
    </row>
    <row r="267">
      <c r="A267" s="9"/>
      <c r="J267" s="32"/>
      <c r="K267" s="33"/>
      <c r="L267" s="24"/>
      <c r="O267" s="8"/>
    </row>
    <row r="268">
      <c r="A268" s="9"/>
      <c r="J268" s="32"/>
      <c r="K268" s="33"/>
      <c r="L268" s="24"/>
      <c r="O268" s="8"/>
    </row>
    <row r="269">
      <c r="A269" s="9"/>
      <c r="J269" s="32"/>
      <c r="K269" s="33"/>
      <c r="L269" s="24"/>
      <c r="O269" s="8"/>
    </row>
    <row r="270">
      <c r="A270" s="9"/>
      <c r="J270" s="32"/>
      <c r="K270" s="33"/>
      <c r="L270" s="24"/>
      <c r="O270" s="8"/>
    </row>
    <row r="271">
      <c r="A271" s="9"/>
      <c r="J271" s="32"/>
      <c r="K271" s="33"/>
      <c r="L271" s="24"/>
      <c r="O271" s="8"/>
    </row>
    <row r="272">
      <c r="A272" s="9"/>
      <c r="J272" s="32"/>
      <c r="K272" s="33"/>
      <c r="L272" s="24"/>
      <c r="O272" s="8"/>
    </row>
    <row r="273">
      <c r="A273" s="9"/>
      <c r="J273" s="32"/>
      <c r="K273" s="33"/>
      <c r="L273" s="24"/>
      <c r="O273" s="8"/>
    </row>
    <row r="274">
      <c r="A274" s="9"/>
      <c r="J274" s="32"/>
      <c r="K274" s="33"/>
      <c r="L274" s="24"/>
      <c r="O274" s="8"/>
    </row>
    <row r="275">
      <c r="A275" s="9"/>
      <c r="J275" s="32"/>
      <c r="K275" s="33"/>
      <c r="L275" s="24"/>
      <c r="O275" s="8"/>
    </row>
    <row r="276">
      <c r="A276" s="9"/>
      <c r="J276" s="32"/>
      <c r="K276" s="33"/>
      <c r="L276" s="24"/>
      <c r="O276" s="8"/>
    </row>
    <row r="277">
      <c r="A277" s="9"/>
      <c r="J277" s="32"/>
      <c r="K277" s="33"/>
      <c r="L277" s="24"/>
      <c r="O277" s="8"/>
    </row>
    <row r="278">
      <c r="A278" s="9"/>
      <c r="J278" s="32"/>
      <c r="K278" s="33"/>
      <c r="L278" s="24"/>
      <c r="O278" s="8"/>
    </row>
    <row r="279">
      <c r="A279" s="9"/>
      <c r="J279" s="32"/>
      <c r="K279" s="33"/>
      <c r="L279" s="24"/>
      <c r="O279" s="8"/>
    </row>
    <row r="280">
      <c r="A280" s="9"/>
      <c r="J280" s="32"/>
      <c r="K280" s="33"/>
      <c r="L280" s="24"/>
      <c r="O280" s="8"/>
    </row>
    <row r="281">
      <c r="A281" s="9"/>
      <c r="J281" s="32"/>
      <c r="K281" s="33"/>
      <c r="L281" s="24"/>
      <c r="O281" s="8"/>
    </row>
    <row r="282">
      <c r="A282" s="9"/>
      <c r="J282" s="32"/>
      <c r="K282" s="33"/>
      <c r="L282" s="24"/>
      <c r="O282" s="8"/>
    </row>
    <row r="283">
      <c r="A283" s="9"/>
      <c r="J283" s="32"/>
      <c r="K283" s="33"/>
      <c r="L283" s="24"/>
      <c r="O283" s="8"/>
    </row>
    <row r="284">
      <c r="A284" s="9"/>
      <c r="J284" s="32"/>
      <c r="K284" s="33"/>
      <c r="L284" s="24"/>
      <c r="O284" s="8"/>
    </row>
    <row r="285">
      <c r="A285" s="9"/>
      <c r="J285" s="32"/>
      <c r="K285" s="33"/>
      <c r="L285" s="24"/>
      <c r="O285" s="8"/>
    </row>
    <row r="286">
      <c r="A286" s="9"/>
      <c r="J286" s="32"/>
      <c r="K286" s="33"/>
      <c r="L286" s="24"/>
      <c r="O286" s="8"/>
    </row>
    <row r="287">
      <c r="A287" s="9"/>
      <c r="J287" s="32"/>
      <c r="K287" s="33"/>
      <c r="L287" s="24"/>
      <c r="O287" s="8"/>
    </row>
    <row r="288">
      <c r="A288" s="9"/>
      <c r="J288" s="32"/>
      <c r="K288" s="33"/>
      <c r="L288" s="24"/>
      <c r="O288" s="8"/>
    </row>
    <row r="289">
      <c r="A289" s="9"/>
      <c r="J289" s="32"/>
      <c r="K289" s="33"/>
      <c r="L289" s="24"/>
      <c r="O289" s="8"/>
    </row>
    <row r="290">
      <c r="A290" s="9"/>
      <c r="J290" s="32"/>
      <c r="K290" s="33"/>
      <c r="L290" s="24"/>
      <c r="O290" s="8"/>
    </row>
    <row r="291">
      <c r="A291" s="9"/>
      <c r="J291" s="32"/>
      <c r="K291" s="33"/>
      <c r="L291" s="24"/>
      <c r="O291" s="8"/>
    </row>
    <row r="292">
      <c r="A292" s="9"/>
      <c r="J292" s="32"/>
      <c r="K292" s="33"/>
      <c r="L292" s="24"/>
      <c r="O292" s="8"/>
    </row>
    <row r="293">
      <c r="A293" s="9"/>
      <c r="J293" s="32"/>
      <c r="K293" s="33"/>
      <c r="L293" s="24"/>
      <c r="O293" s="8"/>
    </row>
    <row r="294">
      <c r="A294" s="9"/>
      <c r="J294" s="32"/>
      <c r="K294" s="33"/>
      <c r="L294" s="24"/>
      <c r="O294" s="8"/>
    </row>
    <row r="295">
      <c r="A295" s="9"/>
      <c r="J295" s="32"/>
      <c r="K295" s="33"/>
      <c r="L295" s="24"/>
      <c r="O295" s="8"/>
    </row>
    <row r="296">
      <c r="A296" s="9"/>
      <c r="J296" s="32"/>
      <c r="K296" s="33"/>
      <c r="L296" s="24"/>
      <c r="O296" s="8"/>
    </row>
    <row r="297">
      <c r="A297" s="9"/>
      <c r="J297" s="32"/>
      <c r="K297" s="33"/>
      <c r="L297" s="24"/>
      <c r="O297" s="8"/>
    </row>
    <row r="298">
      <c r="A298" s="9"/>
      <c r="J298" s="32"/>
      <c r="K298" s="33"/>
      <c r="L298" s="24"/>
      <c r="O298" s="8"/>
    </row>
    <row r="299">
      <c r="A299" s="9"/>
      <c r="J299" s="32"/>
      <c r="K299" s="33"/>
      <c r="L299" s="24"/>
      <c r="O299" s="8"/>
    </row>
    <row r="300">
      <c r="A300" s="9"/>
      <c r="J300" s="32"/>
      <c r="K300" s="33"/>
      <c r="L300" s="24"/>
      <c r="O300" s="8"/>
    </row>
    <row r="301">
      <c r="A301" s="9"/>
      <c r="J301" s="32"/>
      <c r="K301" s="33"/>
      <c r="L301" s="24"/>
      <c r="O301" s="8"/>
    </row>
    <row r="302">
      <c r="A302" s="9"/>
      <c r="J302" s="32"/>
      <c r="K302" s="33"/>
      <c r="L302" s="24"/>
      <c r="O302" s="8"/>
    </row>
    <row r="303">
      <c r="A303" s="9"/>
      <c r="J303" s="32"/>
      <c r="K303" s="33"/>
      <c r="L303" s="24"/>
      <c r="O303" s="8"/>
    </row>
    <row r="304">
      <c r="A304" s="9"/>
      <c r="J304" s="32"/>
      <c r="K304" s="33"/>
      <c r="L304" s="24"/>
      <c r="O304" s="8"/>
    </row>
    <row r="305">
      <c r="A305" s="9"/>
      <c r="J305" s="32"/>
      <c r="K305" s="33"/>
      <c r="L305" s="24"/>
      <c r="O305" s="8"/>
    </row>
    <row r="306">
      <c r="A306" s="9"/>
      <c r="J306" s="32"/>
      <c r="K306" s="33"/>
      <c r="L306" s="24"/>
      <c r="O306" s="8"/>
    </row>
    <row r="307">
      <c r="A307" s="9"/>
      <c r="J307" s="32"/>
      <c r="K307" s="33"/>
      <c r="L307" s="24"/>
      <c r="O307" s="8"/>
    </row>
    <row r="308">
      <c r="A308" s="9"/>
      <c r="J308" s="32"/>
      <c r="K308" s="33"/>
      <c r="L308" s="24"/>
      <c r="O308" s="8"/>
    </row>
    <row r="309">
      <c r="A309" s="9"/>
      <c r="J309" s="32"/>
      <c r="K309" s="33"/>
      <c r="L309" s="24"/>
      <c r="O309" s="8"/>
    </row>
    <row r="310">
      <c r="A310" s="9"/>
      <c r="J310" s="32"/>
      <c r="K310" s="33"/>
      <c r="L310" s="24"/>
      <c r="O310" s="8"/>
    </row>
    <row r="311">
      <c r="A311" s="9"/>
      <c r="J311" s="32"/>
      <c r="K311" s="33"/>
      <c r="L311" s="24"/>
      <c r="O311" s="8"/>
    </row>
    <row r="312">
      <c r="A312" s="9"/>
      <c r="J312" s="32"/>
      <c r="K312" s="33"/>
      <c r="L312" s="24"/>
      <c r="O312" s="8"/>
    </row>
    <row r="313">
      <c r="A313" s="9"/>
      <c r="J313" s="32"/>
      <c r="K313" s="33"/>
      <c r="L313" s="24"/>
      <c r="O313" s="8"/>
    </row>
    <row r="314">
      <c r="A314" s="9"/>
      <c r="J314" s="32"/>
      <c r="K314" s="33"/>
      <c r="L314" s="24"/>
      <c r="O314" s="8"/>
    </row>
    <row r="315">
      <c r="A315" s="9"/>
      <c r="J315" s="32"/>
      <c r="K315" s="33"/>
      <c r="L315" s="24"/>
      <c r="O315" s="8"/>
    </row>
    <row r="316">
      <c r="A316" s="9"/>
      <c r="J316" s="32"/>
      <c r="K316" s="33"/>
      <c r="L316" s="24"/>
      <c r="O316" s="8"/>
    </row>
    <row r="317">
      <c r="A317" s="9"/>
      <c r="J317" s="32"/>
      <c r="K317" s="33"/>
      <c r="L317" s="24"/>
      <c r="O317" s="8"/>
    </row>
    <row r="318">
      <c r="A318" s="9"/>
      <c r="J318" s="32"/>
      <c r="K318" s="33"/>
      <c r="L318" s="24"/>
      <c r="O318" s="8"/>
    </row>
    <row r="319">
      <c r="A319" s="9"/>
      <c r="J319" s="32"/>
      <c r="K319" s="33"/>
      <c r="L319" s="24"/>
      <c r="O319" s="8"/>
    </row>
    <row r="320">
      <c r="A320" s="9"/>
      <c r="J320" s="32"/>
      <c r="K320" s="33"/>
      <c r="L320" s="24"/>
      <c r="O320" s="8"/>
    </row>
    <row r="321">
      <c r="A321" s="9"/>
      <c r="J321" s="32"/>
      <c r="K321" s="33"/>
      <c r="L321" s="24"/>
      <c r="O321" s="8"/>
    </row>
    <row r="322">
      <c r="A322" s="9"/>
      <c r="J322" s="32"/>
      <c r="K322" s="33"/>
      <c r="L322" s="24"/>
      <c r="O322" s="8"/>
    </row>
    <row r="323">
      <c r="A323" s="9"/>
      <c r="J323" s="32"/>
      <c r="K323" s="33"/>
      <c r="L323" s="24"/>
      <c r="O323" s="8"/>
    </row>
    <row r="324">
      <c r="A324" s="9"/>
      <c r="J324" s="32"/>
      <c r="K324" s="33"/>
      <c r="L324" s="24"/>
      <c r="O324" s="8"/>
    </row>
    <row r="325">
      <c r="A325" s="9"/>
      <c r="J325" s="32"/>
      <c r="K325" s="33"/>
      <c r="L325" s="24"/>
      <c r="O325" s="8"/>
    </row>
    <row r="326">
      <c r="A326" s="9"/>
      <c r="J326" s="32"/>
      <c r="K326" s="33"/>
      <c r="L326" s="24"/>
      <c r="O326" s="8"/>
    </row>
    <row r="327">
      <c r="A327" s="9"/>
      <c r="J327" s="32"/>
      <c r="K327" s="33"/>
      <c r="L327" s="24"/>
      <c r="O327" s="8"/>
    </row>
    <row r="328">
      <c r="A328" s="9"/>
      <c r="J328" s="32"/>
      <c r="K328" s="33"/>
      <c r="L328" s="24"/>
      <c r="O328" s="8"/>
    </row>
    <row r="329">
      <c r="A329" s="9"/>
      <c r="J329" s="32"/>
      <c r="K329" s="33"/>
      <c r="L329" s="24"/>
      <c r="O329" s="8"/>
    </row>
    <row r="330">
      <c r="A330" s="9"/>
      <c r="J330" s="32"/>
      <c r="K330" s="33"/>
      <c r="L330" s="24"/>
      <c r="O330" s="8"/>
    </row>
    <row r="331">
      <c r="A331" s="9"/>
      <c r="J331" s="32"/>
      <c r="K331" s="33"/>
      <c r="L331" s="24"/>
      <c r="O331" s="8"/>
    </row>
    <row r="332">
      <c r="A332" s="9"/>
      <c r="J332" s="32"/>
      <c r="K332" s="33"/>
      <c r="L332" s="24"/>
      <c r="O332" s="8"/>
    </row>
    <row r="333">
      <c r="A333" s="9"/>
      <c r="J333" s="32"/>
      <c r="K333" s="33"/>
      <c r="L333" s="24"/>
      <c r="O333" s="8"/>
    </row>
    <row r="334">
      <c r="A334" s="9"/>
      <c r="J334" s="32"/>
      <c r="K334" s="33"/>
      <c r="L334" s="24"/>
      <c r="O334" s="8"/>
    </row>
    <row r="335">
      <c r="A335" s="9"/>
      <c r="J335" s="32"/>
      <c r="K335" s="33"/>
      <c r="L335" s="24"/>
      <c r="O335" s="8"/>
    </row>
    <row r="336">
      <c r="A336" s="9"/>
      <c r="J336" s="32"/>
      <c r="K336" s="33"/>
      <c r="L336" s="24"/>
      <c r="O336" s="8"/>
    </row>
    <row r="337">
      <c r="A337" s="9"/>
      <c r="J337" s="32"/>
      <c r="K337" s="33"/>
      <c r="L337" s="24"/>
      <c r="O337" s="8"/>
    </row>
    <row r="338">
      <c r="A338" s="9"/>
      <c r="J338" s="32"/>
      <c r="K338" s="33"/>
      <c r="L338" s="24"/>
      <c r="O338" s="8"/>
    </row>
    <row r="339">
      <c r="A339" s="9"/>
      <c r="J339" s="32"/>
      <c r="K339" s="33"/>
      <c r="L339" s="24"/>
      <c r="O339" s="8"/>
    </row>
    <row r="340">
      <c r="A340" s="9"/>
      <c r="J340" s="32"/>
      <c r="K340" s="33"/>
      <c r="L340" s="24"/>
      <c r="O340" s="8"/>
    </row>
    <row r="341">
      <c r="A341" s="9"/>
      <c r="J341" s="32"/>
      <c r="K341" s="33"/>
      <c r="L341" s="24"/>
      <c r="O341" s="8"/>
    </row>
    <row r="342">
      <c r="A342" s="9"/>
      <c r="J342" s="32"/>
      <c r="K342" s="33"/>
      <c r="L342" s="24"/>
      <c r="O342" s="8"/>
    </row>
    <row r="343">
      <c r="A343" s="9"/>
      <c r="J343" s="32"/>
      <c r="K343" s="33"/>
      <c r="L343" s="24"/>
      <c r="O343" s="8"/>
    </row>
    <row r="344">
      <c r="A344" s="9"/>
      <c r="J344" s="32"/>
      <c r="K344" s="33"/>
      <c r="L344" s="24"/>
      <c r="O344" s="8"/>
    </row>
    <row r="345">
      <c r="A345" s="9"/>
      <c r="J345" s="32"/>
      <c r="K345" s="33"/>
      <c r="L345" s="24"/>
      <c r="O345" s="8"/>
    </row>
    <row r="346">
      <c r="A346" s="9"/>
      <c r="J346" s="32"/>
      <c r="K346" s="33"/>
      <c r="L346" s="24"/>
      <c r="O346" s="8"/>
    </row>
    <row r="347">
      <c r="A347" s="9"/>
      <c r="J347" s="32"/>
      <c r="K347" s="33"/>
      <c r="L347" s="24"/>
      <c r="O347" s="8"/>
    </row>
    <row r="348">
      <c r="A348" s="9"/>
      <c r="J348" s="32"/>
      <c r="K348" s="33"/>
      <c r="L348" s="24"/>
      <c r="O348" s="8"/>
    </row>
    <row r="349">
      <c r="A349" s="9"/>
      <c r="J349" s="32"/>
      <c r="K349" s="33"/>
      <c r="L349" s="24"/>
      <c r="O349" s="8"/>
    </row>
    <row r="350">
      <c r="A350" s="9"/>
      <c r="J350" s="32"/>
      <c r="K350" s="33"/>
      <c r="L350" s="24"/>
      <c r="O350" s="8"/>
    </row>
    <row r="351">
      <c r="A351" s="9"/>
      <c r="J351" s="32"/>
      <c r="K351" s="33"/>
      <c r="L351" s="24"/>
      <c r="O351" s="8"/>
    </row>
    <row r="352">
      <c r="A352" s="9"/>
      <c r="J352" s="32"/>
      <c r="K352" s="33"/>
      <c r="L352" s="24"/>
      <c r="O352" s="8"/>
    </row>
    <row r="353">
      <c r="A353" s="9"/>
      <c r="J353" s="32"/>
      <c r="K353" s="33"/>
      <c r="L353" s="24"/>
      <c r="O353" s="8"/>
    </row>
    <row r="354">
      <c r="A354" s="9"/>
      <c r="J354" s="32"/>
      <c r="K354" s="33"/>
      <c r="L354" s="24"/>
      <c r="O354" s="8"/>
    </row>
    <row r="355">
      <c r="A355" s="9"/>
      <c r="J355" s="32"/>
      <c r="K355" s="33"/>
      <c r="L355" s="24"/>
      <c r="O355" s="8"/>
    </row>
    <row r="356">
      <c r="A356" s="9"/>
      <c r="J356" s="32"/>
      <c r="K356" s="33"/>
      <c r="L356" s="24"/>
      <c r="O356" s="8"/>
    </row>
    <row r="357">
      <c r="A357" s="9"/>
      <c r="J357" s="32"/>
      <c r="K357" s="33"/>
      <c r="L357" s="24"/>
      <c r="O357" s="8"/>
    </row>
    <row r="358">
      <c r="A358" s="9"/>
      <c r="J358" s="32"/>
      <c r="K358" s="33"/>
      <c r="L358" s="24"/>
      <c r="O358" s="8"/>
    </row>
    <row r="359">
      <c r="A359" s="9"/>
      <c r="J359" s="32"/>
      <c r="K359" s="33"/>
      <c r="L359" s="24"/>
      <c r="O359" s="8"/>
    </row>
    <row r="360">
      <c r="A360" s="9"/>
      <c r="J360" s="32"/>
      <c r="K360" s="33"/>
      <c r="L360" s="24"/>
      <c r="O360" s="8"/>
    </row>
    <row r="361">
      <c r="A361" s="9"/>
      <c r="J361" s="32"/>
      <c r="K361" s="33"/>
      <c r="L361" s="24"/>
      <c r="O361" s="8"/>
    </row>
    <row r="362">
      <c r="A362" s="9"/>
      <c r="J362" s="32"/>
      <c r="K362" s="33"/>
      <c r="L362" s="24"/>
      <c r="O362" s="8"/>
    </row>
    <row r="363">
      <c r="A363" s="9"/>
      <c r="J363" s="32"/>
      <c r="K363" s="33"/>
      <c r="L363" s="24"/>
      <c r="O363" s="8"/>
    </row>
    <row r="364">
      <c r="A364" s="9"/>
      <c r="J364" s="32"/>
      <c r="K364" s="33"/>
      <c r="L364" s="24"/>
      <c r="O364" s="8"/>
    </row>
    <row r="365">
      <c r="A365" s="9"/>
      <c r="J365" s="32"/>
      <c r="K365" s="33"/>
      <c r="L365" s="24"/>
      <c r="O365" s="8"/>
    </row>
    <row r="366">
      <c r="A366" s="9"/>
      <c r="J366" s="32"/>
      <c r="K366" s="33"/>
      <c r="L366" s="24"/>
      <c r="O366" s="8"/>
    </row>
    <row r="367">
      <c r="A367" s="9"/>
      <c r="J367" s="32"/>
      <c r="K367" s="33"/>
      <c r="L367" s="24"/>
      <c r="O367" s="8"/>
    </row>
    <row r="368">
      <c r="A368" s="9"/>
      <c r="J368" s="32"/>
      <c r="K368" s="33"/>
      <c r="L368" s="24"/>
      <c r="O368" s="8"/>
    </row>
    <row r="369">
      <c r="A369" s="9"/>
      <c r="J369" s="32"/>
      <c r="K369" s="33"/>
      <c r="L369" s="24"/>
      <c r="O369" s="8"/>
    </row>
    <row r="370">
      <c r="A370" s="9"/>
      <c r="J370" s="32"/>
      <c r="K370" s="33"/>
      <c r="L370" s="24"/>
      <c r="O370" s="8"/>
    </row>
    <row r="371">
      <c r="A371" s="9"/>
      <c r="J371" s="32"/>
      <c r="K371" s="33"/>
      <c r="L371" s="24"/>
      <c r="O371" s="8"/>
    </row>
    <row r="372">
      <c r="A372" s="9"/>
      <c r="J372" s="32"/>
      <c r="K372" s="33"/>
      <c r="L372" s="24"/>
      <c r="O372" s="8"/>
    </row>
    <row r="373">
      <c r="A373" s="9"/>
      <c r="J373" s="32"/>
      <c r="K373" s="33"/>
      <c r="L373" s="24"/>
      <c r="O373" s="8"/>
    </row>
    <row r="374">
      <c r="A374" s="9"/>
      <c r="J374" s="32"/>
      <c r="K374" s="33"/>
      <c r="L374" s="24"/>
      <c r="O374" s="8"/>
    </row>
    <row r="375">
      <c r="A375" s="9"/>
      <c r="J375" s="32"/>
      <c r="K375" s="33"/>
      <c r="L375" s="24"/>
      <c r="O375" s="8"/>
    </row>
    <row r="376">
      <c r="A376" s="9"/>
      <c r="J376" s="32"/>
      <c r="K376" s="33"/>
      <c r="L376" s="24"/>
      <c r="O376" s="8"/>
    </row>
    <row r="377">
      <c r="A377" s="9"/>
      <c r="J377" s="32"/>
      <c r="K377" s="33"/>
      <c r="L377" s="24"/>
      <c r="O377" s="8"/>
    </row>
    <row r="378">
      <c r="A378" s="9"/>
      <c r="J378" s="32"/>
      <c r="K378" s="33"/>
      <c r="L378" s="24"/>
      <c r="O378" s="8"/>
    </row>
    <row r="379">
      <c r="A379" s="9"/>
      <c r="J379" s="32"/>
      <c r="K379" s="33"/>
      <c r="L379" s="24"/>
      <c r="O379" s="8"/>
    </row>
    <row r="380">
      <c r="A380" s="9"/>
      <c r="J380" s="32"/>
      <c r="K380" s="33"/>
      <c r="L380" s="24"/>
      <c r="O380" s="8"/>
    </row>
    <row r="381">
      <c r="A381" s="9"/>
      <c r="J381" s="32"/>
      <c r="K381" s="33"/>
      <c r="L381" s="24"/>
      <c r="O381" s="8"/>
    </row>
    <row r="382">
      <c r="A382" s="9"/>
      <c r="J382" s="32"/>
      <c r="K382" s="33"/>
      <c r="L382" s="24"/>
      <c r="O382" s="8"/>
    </row>
    <row r="383">
      <c r="A383" s="9"/>
      <c r="J383" s="32"/>
      <c r="K383" s="33"/>
      <c r="L383" s="24"/>
      <c r="O383" s="8"/>
    </row>
    <row r="384">
      <c r="A384" s="9"/>
      <c r="J384" s="32"/>
      <c r="K384" s="33"/>
      <c r="L384" s="24"/>
      <c r="O384" s="8"/>
    </row>
    <row r="385">
      <c r="A385" s="9"/>
      <c r="J385" s="32"/>
      <c r="K385" s="33"/>
      <c r="L385" s="24"/>
      <c r="O385" s="8"/>
    </row>
    <row r="386">
      <c r="A386" s="9"/>
      <c r="J386" s="32"/>
      <c r="K386" s="33"/>
      <c r="L386" s="24"/>
      <c r="O386" s="8"/>
    </row>
    <row r="387">
      <c r="A387" s="9"/>
      <c r="J387" s="32"/>
      <c r="K387" s="33"/>
      <c r="L387" s="24"/>
      <c r="O387" s="8"/>
    </row>
    <row r="388">
      <c r="A388" s="9"/>
      <c r="J388" s="32"/>
      <c r="K388" s="33"/>
      <c r="L388" s="24"/>
      <c r="O388" s="8"/>
    </row>
    <row r="389">
      <c r="A389" s="9"/>
      <c r="J389" s="32"/>
      <c r="K389" s="33"/>
      <c r="L389" s="24"/>
      <c r="O389" s="8"/>
    </row>
    <row r="390">
      <c r="A390" s="9"/>
      <c r="J390" s="32"/>
      <c r="K390" s="33"/>
      <c r="L390" s="24"/>
      <c r="O390" s="8"/>
    </row>
    <row r="391">
      <c r="A391" s="9"/>
      <c r="J391" s="32"/>
      <c r="K391" s="33"/>
      <c r="L391" s="24"/>
      <c r="O391" s="8"/>
    </row>
    <row r="392">
      <c r="A392" s="9"/>
      <c r="J392" s="32"/>
      <c r="K392" s="33"/>
      <c r="L392" s="24"/>
      <c r="O392" s="8"/>
    </row>
    <row r="393">
      <c r="A393" s="9"/>
      <c r="J393" s="32"/>
      <c r="K393" s="33"/>
      <c r="L393" s="24"/>
      <c r="O393" s="8"/>
    </row>
    <row r="394">
      <c r="A394" s="9"/>
      <c r="J394" s="32"/>
      <c r="K394" s="33"/>
      <c r="L394" s="24"/>
      <c r="O394" s="8"/>
    </row>
    <row r="395">
      <c r="A395" s="9"/>
      <c r="J395" s="32"/>
      <c r="K395" s="33"/>
      <c r="L395" s="24"/>
      <c r="O395" s="8"/>
    </row>
    <row r="396">
      <c r="A396" s="9"/>
      <c r="J396" s="32"/>
      <c r="K396" s="33"/>
      <c r="L396" s="24"/>
      <c r="O396" s="8"/>
    </row>
    <row r="397">
      <c r="A397" s="9"/>
      <c r="J397" s="32"/>
      <c r="K397" s="33"/>
      <c r="L397" s="24"/>
      <c r="O397" s="8"/>
    </row>
    <row r="398">
      <c r="A398" s="9"/>
      <c r="J398" s="32"/>
      <c r="K398" s="33"/>
      <c r="L398" s="24"/>
      <c r="O398" s="8"/>
    </row>
    <row r="399">
      <c r="A399" s="9"/>
      <c r="J399" s="32"/>
      <c r="K399" s="33"/>
      <c r="L399" s="24"/>
      <c r="O399" s="8"/>
    </row>
    <row r="400">
      <c r="A400" s="9"/>
      <c r="J400" s="32"/>
      <c r="K400" s="33"/>
      <c r="L400" s="24"/>
      <c r="O400" s="8"/>
    </row>
    <row r="401">
      <c r="A401" s="9"/>
      <c r="J401" s="32"/>
      <c r="K401" s="33"/>
      <c r="L401" s="24"/>
      <c r="O401" s="8"/>
    </row>
    <row r="402">
      <c r="A402" s="9"/>
      <c r="J402" s="32"/>
      <c r="K402" s="33"/>
      <c r="L402" s="24"/>
      <c r="O402" s="8"/>
    </row>
    <row r="403">
      <c r="A403" s="9"/>
      <c r="J403" s="32"/>
      <c r="K403" s="33"/>
      <c r="L403" s="24"/>
      <c r="O403" s="8"/>
    </row>
    <row r="404">
      <c r="A404" s="9"/>
      <c r="J404" s="32"/>
      <c r="K404" s="33"/>
      <c r="L404" s="24"/>
      <c r="O404" s="8"/>
    </row>
    <row r="405">
      <c r="A405" s="9"/>
      <c r="J405" s="32"/>
      <c r="K405" s="33"/>
      <c r="L405" s="24"/>
      <c r="O405" s="8"/>
    </row>
    <row r="406">
      <c r="A406" s="9"/>
      <c r="J406" s="32"/>
      <c r="K406" s="33"/>
      <c r="L406" s="24"/>
      <c r="O406" s="8"/>
    </row>
    <row r="407">
      <c r="A407" s="9"/>
      <c r="J407" s="32"/>
      <c r="K407" s="33"/>
      <c r="L407" s="24"/>
      <c r="O407" s="8"/>
    </row>
    <row r="408">
      <c r="A408" s="9"/>
      <c r="J408" s="32"/>
      <c r="K408" s="33"/>
      <c r="L408" s="24"/>
      <c r="O408" s="8"/>
    </row>
    <row r="409">
      <c r="A409" s="9"/>
      <c r="J409" s="32"/>
      <c r="K409" s="33"/>
      <c r="L409" s="24"/>
      <c r="O409" s="8"/>
    </row>
    <row r="410">
      <c r="A410" s="9"/>
      <c r="J410" s="32"/>
      <c r="K410" s="33"/>
      <c r="L410" s="24"/>
      <c r="O410" s="8"/>
    </row>
    <row r="411">
      <c r="A411" s="9"/>
      <c r="J411" s="32"/>
      <c r="K411" s="33"/>
      <c r="L411" s="24"/>
      <c r="O411" s="8"/>
    </row>
    <row r="412">
      <c r="A412" s="9"/>
      <c r="J412" s="32"/>
      <c r="K412" s="33"/>
      <c r="L412" s="24"/>
      <c r="O412" s="8"/>
    </row>
    <row r="413">
      <c r="A413" s="9"/>
      <c r="J413" s="32"/>
      <c r="K413" s="33"/>
      <c r="L413" s="24"/>
      <c r="O413" s="8"/>
    </row>
    <row r="414">
      <c r="A414" s="9"/>
      <c r="J414" s="32"/>
      <c r="K414" s="33"/>
      <c r="L414" s="24"/>
      <c r="O414" s="8"/>
    </row>
    <row r="415">
      <c r="A415" s="9"/>
      <c r="J415" s="32"/>
      <c r="K415" s="33"/>
      <c r="L415" s="24"/>
      <c r="O415" s="8"/>
    </row>
    <row r="416">
      <c r="A416" s="9"/>
      <c r="J416" s="32"/>
      <c r="K416" s="33"/>
      <c r="L416" s="24"/>
      <c r="O416" s="8"/>
    </row>
    <row r="417">
      <c r="A417" s="9"/>
      <c r="J417" s="32"/>
      <c r="K417" s="33"/>
      <c r="L417" s="24"/>
      <c r="O417" s="8"/>
    </row>
    <row r="418">
      <c r="A418" s="9"/>
      <c r="J418" s="32"/>
      <c r="K418" s="33"/>
      <c r="L418" s="24"/>
      <c r="O418" s="8"/>
    </row>
    <row r="419">
      <c r="A419" s="9"/>
      <c r="J419" s="32"/>
      <c r="K419" s="33"/>
      <c r="L419" s="24"/>
      <c r="O419" s="8"/>
    </row>
    <row r="420">
      <c r="A420" s="9"/>
      <c r="J420" s="32"/>
      <c r="K420" s="33"/>
      <c r="L420" s="24"/>
      <c r="O420" s="8"/>
    </row>
    <row r="421">
      <c r="A421" s="9"/>
      <c r="J421" s="32"/>
      <c r="K421" s="33"/>
      <c r="L421" s="24"/>
      <c r="O421" s="8"/>
    </row>
    <row r="422">
      <c r="A422" s="9"/>
      <c r="J422" s="32"/>
      <c r="K422" s="33"/>
      <c r="L422" s="24"/>
      <c r="O422" s="8"/>
    </row>
    <row r="423">
      <c r="A423" s="9"/>
      <c r="J423" s="32"/>
      <c r="K423" s="33"/>
      <c r="L423" s="24"/>
      <c r="O423" s="8"/>
    </row>
    <row r="424">
      <c r="A424" s="9"/>
      <c r="J424" s="32"/>
      <c r="K424" s="33"/>
      <c r="L424" s="24"/>
      <c r="O424" s="8"/>
    </row>
    <row r="425">
      <c r="A425" s="9"/>
      <c r="J425" s="32"/>
      <c r="K425" s="33"/>
      <c r="L425" s="24"/>
      <c r="O425" s="8"/>
    </row>
    <row r="426">
      <c r="A426" s="9"/>
      <c r="J426" s="32"/>
      <c r="K426" s="33"/>
      <c r="L426" s="24"/>
      <c r="O426" s="8"/>
    </row>
    <row r="427">
      <c r="A427" s="9"/>
      <c r="J427" s="32"/>
      <c r="K427" s="33"/>
      <c r="L427" s="24"/>
      <c r="O427" s="8"/>
    </row>
    <row r="428">
      <c r="A428" s="9"/>
      <c r="J428" s="32"/>
      <c r="K428" s="33"/>
      <c r="L428" s="24"/>
      <c r="O428" s="8"/>
    </row>
    <row r="429">
      <c r="A429" s="9"/>
      <c r="J429" s="32"/>
      <c r="K429" s="33"/>
      <c r="L429" s="24"/>
      <c r="O429" s="8"/>
    </row>
    <row r="430">
      <c r="A430" s="9"/>
      <c r="J430" s="32"/>
      <c r="K430" s="33"/>
      <c r="L430" s="24"/>
      <c r="O430" s="8"/>
    </row>
    <row r="431">
      <c r="A431" s="9"/>
      <c r="J431" s="32"/>
      <c r="K431" s="33"/>
      <c r="L431" s="24"/>
      <c r="O431" s="8"/>
    </row>
    <row r="432">
      <c r="A432" s="9"/>
      <c r="J432" s="32"/>
      <c r="K432" s="33"/>
      <c r="L432" s="24"/>
      <c r="O432" s="8"/>
    </row>
    <row r="433">
      <c r="A433" s="9"/>
      <c r="J433" s="32"/>
      <c r="K433" s="33"/>
      <c r="L433" s="24"/>
      <c r="O433" s="8"/>
    </row>
    <row r="434">
      <c r="A434" s="9"/>
      <c r="J434" s="32"/>
      <c r="K434" s="33"/>
      <c r="L434" s="24"/>
      <c r="O434" s="8"/>
    </row>
    <row r="435">
      <c r="A435" s="9"/>
      <c r="J435" s="32"/>
      <c r="K435" s="33"/>
      <c r="L435" s="24"/>
      <c r="O435" s="8"/>
    </row>
    <row r="436">
      <c r="A436" s="9"/>
      <c r="J436" s="32"/>
      <c r="K436" s="33"/>
      <c r="L436" s="24"/>
      <c r="O436" s="8"/>
    </row>
    <row r="437">
      <c r="A437" s="9"/>
      <c r="J437" s="32"/>
      <c r="K437" s="33"/>
      <c r="L437" s="24"/>
      <c r="O437" s="8"/>
    </row>
    <row r="438">
      <c r="A438" s="9"/>
      <c r="J438" s="32"/>
      <c r="K438" s="33"/>
      <c r="L438" s="24"/>
      <c r="O438" s="8"/>
    </row>
    <row r="439">
      <c r="A439" s="9"/>
      <c r="J439" s="32"/>
      <c r="K439" s="33"/>
      <c r="L439" s="24"/>
      <c r="O439" s="8"/>
    </row>
    <row r="440">
      <c r="A440" s="9"/>
      <c r="J440" s="32"/>
      <c r="K440" s="33"/>
      <c r="L440" s="24"/>
      <c r="O440" s="8"/>
    </row>
    <row r="441">
      <c r="A441" s="9"/>
      <c r="J441" s="32"/>
      <c r="K441" s="33"/>
      <c r="L441" s="24"/>
      <c r="O441" s="8"/>
    </row>
    <row r="442">
      <c r="A442" s="9"/>
      <c r="J442" s="32"/>
      <c r="K442" s="33"/>
      <c r="L442" s="24"/>
      <c r="O442" s="8"/>
    </row>
    <row r="443">
      <c r="A443" s="9"/>
      <c r="J443" s="32"/>
      <c r="K443" s="33"/>
      <c r="L443" s="24"/>
      <c r="O443" s="8"/>
    </row>
    <row r="444">
      <c r="A444" s="9"/>
      <c r="J444" s="32"/>
      <c r="K444" s="33"/>
      <c r="L444" s="24"/>
      <c r="O444" s="8"/>
    </row>
    <row r="445">
      <c r="A445" s="9"/>
      <c r="J445" s="32"/>
      <c r="K445" s="33"/>
      <c r="L445" s="24"/>
      <c r="O445" s="8"/>
    </row>
    <row r="446">
      <c r="A446" s="9"/>
      <c r="J446" s="32"/>
      <c r="K446" s="33"/>
      <c r="L446" s="24"/>
      <c r="O446" s="8"/>
    </row>
    <row r="447">
      <c r="A447" s="9"/>
      <c r="J447" s="32"/>
      <c r="K447" s="33"/>
      <c r="L447" s="24"/>
      <c r="O447" s="8"/>
    </row>
    <row r="448">
      <c r="A448" s="9"/>
      <c r="J448" s="32"/>
      <c r="K448" s="33"/>
      <c r="L448" s="24"/>
      <c r="O448" s="8"/>
    </row>
    <row r="449">
      <c r="A449" s="9"/>
      <c r="J449" s="32"/>
      <c r="K449" s="33"/>
      <c r="L449" s="24"/>
      <c r="O449" s="8"/>
    </row>
    <row r="450">
      <c r="A450" s="9"/>
      <c r="J450" s="32"/>
      <c r="K450" s="33"/>
      <c r="L450" s="24"/>
      <c r="O450" s="8"/>
    </row>
    <row r="451">
      <c r="A451" s="9"/>
      <c r="J451" s="32"/>
      <c r="K451" s="33"/>
      <c r="L451" s="24"/>
      <c r="O451" s="8"/>
    </row>
    <row r="452">
      <c r="A452" s="9"/>
      <c r="J452" s="32"/>
      <c r="K452" s="33"/>
      <c r="L452" s="24"/>
      <c r="O452" s="8"/>
    </row>
    <row r="453">
      <c r="A453" s="9"/>
      <c r="J453" s="32"/>
      <c r="K453" s="33"/>
      <c r="L453" s="24"/>
      <c r="O453" s="8"/>
    </row>
    <row r="454">
      <c r="A454" s="9"/>
      <c r="J454" s="32"/>
      <c r="K454" s="33"/>
      <c r="L454" s="24"/>
      <c r="O454" s="8"/>
    </row>
    <row r="455">
      <c r="A455" s="9"/>
      <c r="J455" s="32"/>
      <c r="K455" s="33"/>
      <c r="L455" s="24"/>
      <c r="O455" s="8"/>
    </row>
    <row r="456">
      <c r="A456" s="9"/>
      <c r="J456" s="32"/>
      <c r="K456" s="33"/>
      <c r="L456" s="24"/>
      <c r="O456" s="8"/>
    </row>
    <row r="457">
      <c r="A457" s="9"/>
      <c r="J457" s="32"/>
      <c r="K457" s="33"/>
      <c r="L457" s="24"/>
      <c r="O457" s="8"/>
    </row>
    <row r="458">
      <c r="A458" s="9"/>
      <c r="J458" s="32"/>
      <c r="K458" s="33"/>
      <c r="L458" s="24"/>
      <c r="O458" s="8"/>
    </row>
    <row r="459">
      <c r="A459" s="9"/>
      <c r="J459" s="32"/>
      <c r="K459" s="33"/>
      <c r="L459" s="24"/>
      <c r="O459" s="8"/>
    </row>
    <row r="460">
      <c r="A460" s="9"/>
      <c r="J460" s="32"/>
      <c r="K460" s="33"/>
      <c r="L460" s="24"/>
      <c r="O460" s="8"/>
    </row>
    <row r="461">
      <c r="A461" s="9"/>
      <c r="J461" s="32"/>
      <c r="K461" s="33"/>
      <c r="L461" s="24"/>
      <c r="O461" s="8"/>
    </row>
    <row r="462">
      <c r="A462" s="9"/>
      <c r="J462" s="32"/>
      <c r="K462" s="33"/>
      <c r="L462" s="24"/>
      <c r="O462" s="8"/>
    </row>
    <row r="463">
      <c r="A463" s="9"/>
      <c r="J463" s="32"/>
      <c r="K463" s="33"/>
      <c r="L463" s="24"/>
      <c r="O463" s="8"/>
    </row>
    <row r="464">
      <c r="A464" s="9"/>
      <c r="J464" s="32"/>
      <c r="K464" s="33"/>
      <c r="L464" s="24"/>
      <c r="O464" s="8"/>
    </row>
    <row r="465">
      <c r="A465" s="9"/>
      <c r="J465" s="32"/>
      <c r="K465" s="33"/>
      <c r="L465" s="24"/>
      <c r="O465" s="8"/>
    </row>
    <row r="466">
      <c r="A466" s="9"/>
      <c r="J466" s="32"/>
      <c r="K466" s="33"/>
      <c r="L466" s="24"/>
      <c r="O466" s="8"/>
    </row>
    <row r="467">
      <c r="A467" s="9"/>
      <c r="J467" s="32"/>
      <c r="K467" s="33"/>
      <c r="L467" s="24"/>
      <c r="O467" s="8"/>
    </row>
    <row r="468">
      <c r="A468" s="9"/>
      <c r="J468" s="32"/>
      <c r="K468" s="33"/>
      <c r="L468" s="24"/>
      <c r="O468" s="8"/>
    </row>
    <row r="469">
      <c r="A469" s="9"/>
      <c r="J469" s="32"/>
      <c r="K469" s="33"/>
      <c r="L469" s="24"/>
      <c r="O469" s="8"/>
    </row>
    <row r="470">
      <c r="A470" s="9"/>
      <c r="J470" s="32"/>
      <c r="K470" s="33"/>
      <c r="L470" s="24"/>
      <c r="O470" s="8"/>
    </row>
    <row r="471">
      <c r="A471" s="9"/>
      <c r="J471" s="32"/>
      <c r="K471" s="33"/>
      <c r="L471" s="24"/>
      <c r="O471" s="8"/>
    </row>
    <row r="472">
      <c r="A472" s="9"/>
      <c r="J472" s="32"/>
      <c r="K472" s="33"/>
      <c r="L472" s="24"/>
      <c r="O472" s="8"/>
    </row>
    <row r="473">
      <c r="A473" s="9"/>
      <c r="J473" s="32"/>
      <c r="K473" s="33"/>
      <c r="L473" s="24"/>
      <c r="O473" s="8"/>
    </row>
    <row r="474">
      <c r="A474" s="9"/>
      <c r="J474" s="32"/>
      <c r="K474" s="33"/>
      <c r="L474" s="24"/>
      <c r="O474" s="8"/>
    </row>
    <row r="475">
      <c r="A475" s="9"/>
      <c r="J475" s="32"/>
      <c r="K475" s="33"/>
      <c r="L475" s="24"/>
      <c r="O475" s="8"/>
    </row>
    <row r="476">
      <c r="A476" s="9"/>
      <c r="J476" s="32"/>
      <c r="K476" s="33"/>
      <c r="L476" s="24"/>
      <c r="O476" s="8"/>
    </row>
    <row r="477">
      <c r="A477" s="9"/>
      <c r="J477" s="32"/>
      <c r="K477" s="33"/>
      <c r="L477" s="24"/>
      <c r="O477" s="8"/>
    </row>
    <row r="478">
      <c r="A478" s="9"/>
      <c r="J478" s="32"/>
      <c r="K478" s="33"/>
      <c r="L478" s="24"/>
      <c r="O478" s="8"/>
    </row>
    <row r="479">
      <c r="A479" s="9"/>
      <c r="J479" s="32"/>
      <c r="K479" s="33"/>
      <c r="L479" s="24"/>
      <c r="O479" s="8"/>
    </row>
    <row r="480">
      <c r="A480" s="9"/>
      <c r="J480" s="32"/>
      <c r="K480" s="33"/>
      <c r="L480" s="24"/>
      <c r="O480" s="8"/>
    </row>
    <row r="481">
      <c r="A481" s="9"/>
      <c r="J481" s="32"/>
      <c r="K481" s="33"/>
      <c r="L481" s="24"/>
      <c r="O481" s="8"/>
    </row>
    <row r="482">
      <c r="A482" s="9"/>
      <c r="J482" s="32"/>
      <c r="K482" s="33"/>
      <c r="L482" s="24"/>
      <c r="O482" s="8"/>
    </row>
    <row r="483">
      <c r="A483" s="9"/>
      <c r="J483" s="32"/>
      <c r="K483" s="33"/>
      <c r="L483" s="24"/>
      <c r="O483" s="8"/>
    </row>
    <row r="484">
      <c r="A484" s="9"/>
      <c r="J484" s="32"/>
      <c r="K484" s="33"/>
      <c r="L484" s="24"/>
      <c r="O484" s="8"/>
    </row>
    <row r="485">
      <c r="A485" s="9"/>
      <c r="J485" s="32"/>
      <c r="K485" s="33"/>
      <c r="L485" s="24"/>
      <c r="O485" s="8"/>
    </row>
    <row r="486">
      <c r="A486" s="9"/>
      <c r="J486" s="32"/>
      <c r="K486" s="33"/>
      <c r="L486" s="24"/>
      <c r="O486" s="8"/>
    </row>
    <row r="487">
      <c r="A487" s="9"/>
      <c r="J487" s="32"/>
      <c r="K487" s="33"/>
      <c r="L487" s="24"/>
      <c r="O487" s="8"/>
    </row>
    <row r="488">
      <c r="A488" s="9"/>
      <c r="J488" s="32"/>
      <c r="K488" s="33"/>
      <c r="L488" s="24"/>
      <c r="O488" s="8"/>
    </row>
    <row r="489">
      <c r="A489" s="9"/>
      <c r="J489" s="32"/>
      <c r="K489" s="33"/>
      <c r="L489" s="24"/>
      <c r="O489" s="8"/>
    </row>
    <row r="490">
      <c r="A490" s="9"/>
      <c r="J490" s="32"/>
      <c r="K490" s="33"/>
      <c r="L490" s="24"/>
      <c r="O490" s="8"/>
    </row>
    <row r="491">
      <c r="A491" s="9"/>
      <c r="J491" s="32"/>
      <c r="K491" s="33"/>
      <c r="L491" s="24"/>
      <c r="O491" s="8"/>
    </row>
    <row r="492">
      <c r="A492" s="9"/>
      <c r="J492" s="32"/>
      <c r="K492" s="33"/>
      <c r="L492" s="24"/>
      <c r="O492" s="8"/>
    </row>
    <row r="493">
      <c r="A493" s="9"/>
      <c r="J493" s="32"/>
      <c r="K493" s="33"/>
      <c r="L493" s="24"/>
      <c r="O493" s="8"/>
    </row>
    <row r="494">
      <c r="A494" s="9"/>
      <c r="J494" s="32"/>
      <c r="K494" s="33"/>
      <c r="L494" s="24"/>
      <c r="O494" s="8"/>
    </row>
    <row r="495">
      <c r="A495" s="9"/>
      <c r="J495" s="32"/>
      <c r="K495" s="33"/>
      <c r="L495" s="24"/>
      <c r="O495" s="8"/>
    </row>
    <row r="496">
      <c r="A496" s="9"/>
      <c r="J496" s="32"/>
      <c r="K496" s="33"/>
      <c r="L496" s="24"/>
      <c r="O496" s="8"/>
    </row>
    <row r="497">
      <c r="A497" s="9"/>
      <c r="J497" s="32"/>
      <c r="K497" s="33"/>
      <c r="L497" s="24"/>
      <c r="O497" s="8"/>
    </row>
    <row r="498">
      <c r="A498" s="9"/>
      <c r="J498" s="32"/>
      <c r="K498" s="33"/>
      <c r="L498" s="24"/>
      <c r="O498" s="8"/>
    </row>
    <row r="499">
      <c r="A499" s="9"/>
      <c r="J499" s="32"/>
      <c r="K499" s="33"/>
      <c r="L499" s="24"/>
      <c r="O499" s="8"/>
    </row>
    <row r="500">
      <c r="A500" s="9"/>
      <c r="J500" s="32"/>
      <c r="K500" s="33"/>
      <c r="L500" s="24"/>
      <c r="O500" s="8"/>
    </row>
    <row r="501">
      <c r="A501" s="9"/>
      <c r="J501" s="32"/>
      <c r="K501" s="33"/>
      <c r="L501" s="24"/>
      <c r="O501" s="8"/>
    </row>
    <row r="502">
      <c r="A502" s="9"/>
      <c r="J502" s="32"/>
      <c r="K502" s="33"/>
      <c r="L502" s="24"/>
      <c r="O502" s="8"/>
    </row>
    <row r="503">
      <c r="A503" s="9"/>
      <c r="J503" s="32"/>
      <c r="K503" s="33"/>
      <c r="L503" s="24"/>
      <c r="O503" s="8"/>
    </row>
    <row r="504">
      <c r="A504" s="9"/>
      <c r="J504" s="32"/>
      <c r="K504" s="33"/>
      <c r="L504" s="24"/>
      <c r="O504" s="8"/>
    </row>
    <row r="505">
      <c r="A505" s="9"/>
      <c r="J505" s="32"/>
      <c r="K505" s="33"/>
      <c r="L505" s="24"/>
      <c r="O505" s="8"/>
    </row>
    <row r="506">
      <c r="A506" s="9"/>
      <c r="J506" s="32"/>
      <c r="K506" s="33"/>
      <c r="L506" s="24"/>
      <c r="O506" s="8"/>
    </row>
    <row r="507">
      <c r="A507" s="9"/>
      <c r="J507" s="32"/>
      <c r="K507" s="33"/>
      <c r="L507" s="24"/>
      <c r="O507" s="8"/>
    </row>
    <row r="508">
      <c r="A508" s="9"/>
      <c r="J508" s="32"/>
      <c r="K508" s="33"/>
      <c r="L508" s="24"/>
      <c r="O508" s="8"/>
    </row>
    <row r="509">
      <c r="A509" s="9"/>
      <c r="J509" s="32"/>
      <c r="K509" s="33"/>
      <c r="L509" s="24"/>
      <c r="O509" s="8"/>
    </row>
    <row r="510">
      <c r="A510" s="9"/>
      <c r="J510" s="32"/>
      <c r="K510" s="33"/>
      <c r="L510" s="24"/>
      <c r="O510" s="8"/>
    </row>
    <row r="511">
      <c r="A511" s="9"/>
      <c r="J511" s="32"/>
      <c r="K511" s="33"/>
      <c r="L511" s="24"/>
      <c r="O511" s="8"/>
    </row>
    <row r="512">
      <c r="A512" s="9"/>
      <c r="J512" s="32"/>
      <c r="K512" s="33"/>
      <c r="L512" s="24"/>
      <c r="O512" s="8"/>
    </row>
    <row r="513">
      <c r="A513" s="9"/>
      <c r="J513" s="32"/>
      <c r="K513" s="33"/>
      <c r="L513" s="24"/>
      <c r="O513" s="8"/>
    </row>
    <row r="514">
      <c r="A514" s="9"/>
      <c r="J514" s="32"/>
      <c r="K514" s="33"/>
      <c r="L514" s="24"/>
      <c r="O514" s="8"/>
    </row>
    <row r="515">
      <c r="A515" s="9"/>
      <c r="J515" s="32"/>
      <c r="K515" s="33"/>
      <c r="L515" s="24"/>
      <c r="O515" s="8"/>
    </row>
    <row r="516">
      <c r="A516" s="9"/>
      <c r="J516" s="32"/>
      <c r="K516" s="33"/>
      <c r="L516" s="24"/>
      <c r="O516" s="8"/>
    </row>
    <row r="517">
      <c r="A517" s="9"/>
      <c r="J517" s="32"/>
      <c r="K517" s="33"/>
      <c r="L517" s="24"/>
      <c r="O517" s="8"/>
    </row>
    <row r="518">
      <c r="A518" s="9"/>
      <c r="J518" s="32"/>
      <c r="K518" s="33"/>
      <c r="L518" s="24"/>
      <c r="O518" s="8"/>
    </row>
    <row r="519">
      <c r="A519" s="9"/>
      <c r="J519" s="32"/>
      <c r="K519" s="33"/>
      <c r="L519" s="24"/>
      <c r="O519" s="8"/>
    </row>
    <row r="520">
      <c r="A520" s="9"/>
      <c r="J520" s="32"/>
      <c r="K520" s="33"/>
      <c r="L520" s="24"/>
      <c r="O520" s="8"/>
    </row>
    <row r="521">
      <c r="A521" s="9"/>
      <c r="J521" s="32"/>
      <c r="K521" s="33"/>
      <c r="L521" s="24"/>
      <c r="O521" s="8"/>
    </row>
    <row r="522">
      <c r="A522" s="9"/>
      <c r="J522" s="32"/>
      <c r="K522" s="33"/>
      <c r="L522" s="24"/>
      <c r="O522" s="8"/>
    </row>
    <row r="523">
      <c r="A523" s="9"/>
      <c r="J523" s="32"/>
      <c r="K523" s="33"/>
      <c r="L523" s="24"/>
      <c r="O523" s="8"/>
    </row>
    <row r="524">
      <c r="A524" s="9"/>
      <c r="J524" s="32"/>
      <c r="K524" s="33"/>
      <c r="L524" s="24"/>
      <c r="O524" s="8"/>
    </row>
    <row r="525">
      <c r="A525" s="9"/>
      <c r="J525" s="32"/>
      <c r="K525" s="33"/>
      <c r="L525" s="24"/>
      <c r="O525" s="8"/>
    </row>
    <row r="526">
      <c r="A526" s="9"/>
      <c r="J526" s="32"/>
      <c r="K526" s="33"/>
      <c r="L526" s="24"/>
      <c r="O526" s="8"/>
    </row>
    <row r="527">
      <c r="A527" s="9"/>
      <c r="J527" s="32"/>
      <c r="K527" s="33"/>
      <c r="L527" s="24"/>
      <c r="O527" s="8"/>
    </row>
    <row r="528">
      <c r="A528" s="9"/>
      <c r="J528" s="32"/>
      <c r="K528" s="33"/>
      <c r="L528" s="24"/>
      <c r="O528" s="8"/>
    </row>
    <row r="529">
      <c r="A529" s="9"/>
      <c r="J529" s="32"/>
      <c r="K529" s="33"/>
      <c r="L529" s="24"/>
      <c r="O529" s="8"/>
    </row>
    <row r="530">
      <c r="A530" s="9"/>
      <c r="J530" s="32"/>
      <c r="K530" s="33"/>
      <c r="L530" s="24"/>
      <c r="O530" s="8"/>
    </row>
    <row r="531">
      <c r="A531" s="9"/>
      <c r="J531" s="32"/>
      <c r="K531" s="33"/>
      <c r="L531" s="24"/>
      <c r="O531" s="8"/>
    </row>
    <row r="532">
      <c r="A532" s="9"/>
      <c r="J532" s="32"/>
      <c r="K532" s="33"/>
      <c r="L532" s="24"/>
      <c r="O532" s="8"/>
    </row>
    <row r="533">
      <c r="A533" s="9"/>
      <c r="J533" s="32"/>
      <c r="K533" s="33"/>
      <c r="L533" s="24"/>
      <c r="O533" s="8"/>
    </row>
    <row r="534">
      <c r="A534" s="9"/>
      <c r="J534" s="32"/>
      <c r="K534" s="33"/>
      <c r="L534" s="24"/>
      <c r="O534" s="8"/>
    </row>
    <row r="535">
      <c r="A535" s="9"/>
      <c r="J535" s="32"/>
      <c r="K535" s="33"/>
      <c r="L535" s="24"/>
      <c r="O535" s="8"/>
    </row>
    <row r="536">
      <c r="A536" s="9"/>
      <c r="J536" s="32"/>
      <c r="K536" s="33"/>
      <c r="L536" s="24"/>
      <c r="O536" s="8"/>
    </row>
    <row r="537">
      <c r="A537" s="9"/>
      <c r="J537" s="32"/>
      <c r="K537" s="33"/>
      <c r="L537" s="24"/>
      <c r="O537" s="8"/>
    </row>
    <row r="538">
      <c r="A538" s="9"/>
      <c r="J538" s="32"/>
      <c r="K538" s="33"/>
      <c r="L538" s="24"/>
      <c r="O538" s="8"/>
    </row>
    <row r="539">
      <c r="A539" s="9"/>
      <c r="J539" s="32"/>
      <c r="K539" s="33"/>
      <c r="L539" s="24"/>
      <c r="O539" s="8"/>
    </row>
    <row r="540">
      <c r="A540" s="9"/>
      <c r="J540" s="32"/>
      <c r="K540" s="33"/>
      <c r="L540" s="24"/>
      <c r="O540" s="8"/>
    </row>
    <row r="541">
      <c r="A541" s="9"/>
      <c r="J541" s="32"/>
      <c r="K541" s="33"/>
      <c r="L541" s="24"/>
      <c r="O541" s="8"/>
    </row>
    <row r="542">
      <c r="A542" s="9"/>
      <c r="J542" s="32"/>
      <c r="K542" s="33"/>
      <c r="L542" s="24"/>
      <c r="O542" s="8"/>
    </row>
    <row r="543">
      <c r="A543" s="9"/>
      <c r="J543" s="32"/>
      <c r="K543" s="33"/>
      <c r="L543" s="24"/>
      <c r="O543" s="8"/>
    </row>
    <row r="544">
      <c r="A544" s="9"/>
      <c r="J544" s="32"/>
      <c r="K544" s="33"/>
      <c r="L544" s="24"/>
      <c r="O544" s="8"/>
    </row>
    <row r="545">
      <c r="A545" s="9"/>
      <c r="J545" s="32"/>
      <c r="K545" s="33"/>
      <c r="L545" s="24"/>
      <c r="O545" s="8"/>
    </row>
    <row r="546">
      <c r="A546" s="9"/>
      <c r="J546" s="32"/>
      <c r="K546" s="33"/>
      <c r="L546" s="24"/>
      <c r="O546" s="8"/>
    </row>
    <row r="547">
      <c r="A547" s="9"/>
      <c r="J547" s="32"/>
      <c r="K547" s="33"/>
      <c r="L547" s="24"/>
      <c r="O547" s="8"/>
    </row>
    <row r="548">
      <c r="A548" s="9"/>
      <c r="J548" s="32"/>
      <c r="K548" s="33"/>
      <c r="L548" s="24"/>
      <c r="O548" s="8"/>
    </row>
    <row r="549">
      <c r="A549" s="9"/>
      <c r="J549" s="32"/>
      <c r="K549" s="33"/>
      <c r="L549" s="24"/>
      <c r="O549" s="8"/>
    </row>
    <row r="550">
      <c r="A550" s="9"/>
      <c r="J550" s="32"/>
      <c r="K550" s="33"/>
      <c r="L550" s="24"/>
      <c r="O550" s="8"/>
    </row>
    <row r="551">
      <c r="A551" s="9"/>
      <c r="J551" s="32"/>
      <c r="K551" s="33"/>
      <c r="L551" s="24"/>
      <c r="O551" s="8"/>
    </row>
    <row r="552">
      <c r="A552" s="9"/>
      <c r="J552" s="32"/>
      <c r="K552" s="33"/>
      <c r="L552" s="24"/>
      <c r="O552" s="8"/>
    </row>
    <row r="553">
      <c r="A553" s="9"/>
      <c r="J553" s="32"/>
      <c r="K553" s="33"/>
      <c r="L553" s="24"/>
      <c r="O553" s="8"/>
    </row>
    <row r="554">
      <c r="A554" s="9"/>
      <c r="J554" s="32"/>
      <c r="K554" s="33"/>
      <c r="L554" s="24"/>
      <c r="O554" s="8"/>
    </row>
    <row r="555">
      <c r="A555" s="9"/>
      <c r="J555" s="32"/>
      <c r="K555" s="33"/>
      <c r="L555" s="24"/>
      <c r="O555" s="8"/>
    </row>
    <row r="556">
      <c r="A556" s="9"/>
      <c r="J556" s="32"/>
      <c r="K556" s="33"/>
      <c r="L556" s="24"/>
      <c r="O556" s="8"/>
    </row>
    <row r="557">
      <c r="A557" s="9"/>
      <c r="J557" s="32"/>
      <c r="K557" s="33"/>
      <c r="L557" s="24"/>
      <c r="O557" s="8"/>
    </row>
    <row r="558">
      <c r="A558" s="9"/>
      <c r="J558" s="32"/>
      <c r="K558" s="33"/>
      <c r="L558" s="24"/>
      <c r="O558" s="8"/>
    </row>
    <row r="559">
      <c r="A559" s="9"/>
      <c r="J559" s="32"/>
      <c r="K559" s="33"/>
      <c r="L559" s="24"/>
      <c r="O559" s="8"/>
    </row>
    <row r="560">
      <c r="A560" s="9"/>
      <c r="J560" s="32"/>
      <c r="K560" s="33"/>
      <c r="L560" s="24"/>
      <c r="O560" s="8"/>
    </row>
    <row r="561">
      <c r="A561" s="9"/>
      <c r="J561" s="32"/>
      <c r="K561" s="33"/>
      <c r="L561" s="24"/>
      <c r="O561" s="8"/>
    </row>
    <row r="562">
      <c r="A562" s="9"/>
      <c r="J562" s="32"/>
      <c r="K562" s="33"/>
      <c r="L562" s="24"/>
      <c r="O562" s="8"/>
    </row>
    <row r="563">
      <c r="A563" s="9"/>
      <c r="J563" s="32"/>
      <c r="K563" s="33"/>
      <c r="L563" s="24"/>
      <c r="O563" s="8"/>
    </row>
    <row r="564">
      <c r="A564" s="9"/>
      <c r="J564" s="32"/>
      <c r="K564" s="33"/>
      <c r="L564" s="24"/>
      <c r="O564" s="8"/>
    </row>
    <row r="565">
      <c r="A565" s="9"/>
      <c r="J565" s="32"/>
      <c r="K565" s="33"/>
      <c r="L565" s="24"/>
      <c r="O565" s="8"/>
    </row>
    <row r="566">
      <c r="A566" s="9"/>
      <c r="J566" s="32"/>
      <c r="K566" s="33"/>
      <c r="L566" s="24"/>
      <c r="O566" s="8"/>
    </row>
    <row r="567">
      <c r="A567" s="9"/>
      <c r="J567" s="32"/>
      <c r="K567" s="33"/>
      <c r="L567" s="24"/>
      <c r="O567" s="8"/>
    </row>
    <row r="568">
      <c r="A568" s="9"/>
      <c r="J568" s="32"/>
      <c r="K568" s="33"/>
      <c r="L568" s="24"/>
      <c r="O568" s="8"/>
    </row>
    <row r="569">
      <c r="A569" s="9"/>
      <c r="J569" s="32"/>
      <c r="K569" s="33"/>
      <c r="L569" s="24"/>
      <c r="O569" s="8"/>
    </row>
    <row r="570">
      <c r="A570" s="9"/>
      <c r="J570" s="32"/>
      <c r="K570" s="33"/>
      <c r="L570" s="24"/>
      <c r="O570" s="8"/>
    </row>
    <row r="571">
      <c r="A571" s="9"/>
      <c r="J571" s="32"/>
      <c r="K571" s="33"/>
      <c r="L571" s="24"/>
      <c r="O571" s="8"/>
    </row>
    <row r="572">
      <c r="A572" s="9"/>
      <c r="J572" s="32"/>
      <c r="K572" s="33"/>
      <c r="L572" s="24"/>
      <c r="O572" s="8"/>
    </row>
    <row r="573">
      <c r="A573" s="9"/>
      <c r="J573" s="32"/>
      <c r="K573" s="33"/>
      <c r="L573" s="24"/>
      <c r="O573" s="8"/>
    </row>
    <row r="574">
      <c r="A574" s="9"/>
      <c r="J574" s="32"/>
      <c r="K574" s="33"/>
      <c r="L574" s="24"/>
      <c r="O574" s="8"/>
    </row>
    <row r="575">
      <c r="A575" s="9"/>
      <c r="J575" s="32"/>
      <c r="K575" s="33"/>
      <c r="L575" s="24"/>
      <c r="O575" s="8"/>
    </row>
    <row r="576">
      <c r="A576" s="9"/>
      <c r="J576" s="32"/>
      <c r="K576" s="33"/>
      <c r="L576" s="24"/>
      <c r="O576" s="8"/>
    </row>
    <row r="577">
      <c r="A577" s="9"/>
      <c r="J577" s="32"/>
      <c r="K577" s="33"/>
      <c r="L577" s="24"/>
      <c r="O577" s="8"/>
    </row>
    <row r="578">
      <c r="A578" s="9"/>
      <c r="J578" s="32"/>
      <c r="K578" s="33"/>
      <c r="L578" s="24"/>
      <c r="O578" s="8"/>
    </row>
    <row r="579">
      <c r="A579" s="9"/>
      <c r="J579" s="32"/>
      <c r="K579" s="33"/>
      <c r="L579" s="24"/>
      <c r="O579" s="8"/>
    </row>
    <row r="580">
      <c r="A580" s="9"/>
      <c r="J580" s="32"/>
      <c r="K580" s="33"/>
      <c r="L580" s="24"/>
      <c r="O580" s="8"/>
    </row>
    <row r="581">
      <c r="A581" s="9"/>
      <c r="J581" s="32"/>
      <c r="K581" s="33"/>
      <c r="L581" s="24"/>
      <c r="O581" s="8"/>
    </row>
    <row r="582">
      <c r="A582" s="9"/>
      <c r="J582" s="32"/>
      <c r="K582" s="33"/>
      <c r="L582" s="24"/>
      <c r="O582" s="8"/>
    </row>
    <row r="583">
      <c r="A583" s="9"/>
      <c r="J583" s="32"/>
      <c r="K583" s="33"/>
      <c r="L583" s="24"/>
      <c r="O583" s="8"/>
    </row>
    <row r="584">
      <c r="A584" s="9"/>
      <c r="J584" s="32"/>
      <c r="K584" s="33"/>
      <c r="L584" s="24"/>
      <c r="O584" s="8"/>
    </row>
    <row r="585">
      <c r="A585" s="9"/>
      <c r="J585" s="32"/>
      <c r="K585" s="33"/>
      <c r="L585" s="24"/>
      <c r="O585" s="8"/>
    </row>
    <row r="586">
      <c r="A586" s="9"/>
      <c r="J586" s="32"/>
      <c r="K586" s="33"/>
      <c r="L586" s="24"/>
      <c r="O586" s="8"/>
    </row>
    <row r="587">
      <c r="A587" s="9"/>
      <c r="J587" s="32"/>
      <c r="K587" s="33"/>
      <c r="L587" s="24"/>
      <c r="O587" s="8"/>
    </row>
    <row r="588">
      <c r="A588" s="9"/>
      <c r="J588" s="32"/>
      <c r="K588" s="33"/>
      <c r="L588" s="24"/>
      <c r="O588" s="8"/>
    </row>
    <row r="589">
      <c r="A589" s="9"/>
      <c r="J589" s="32"/>
      <c r="K589" s="33"/>
      <c r="L589" s="24"/>
      <c r="O589" s="8"/>
    </row>
    <row r="590">
      <c r="A590" s="9"/>
      <c r="J590" s="32"/>
      <c r="K590" s="33"/>
      <c r="L590" s="24"/>
      <c r="O590" s="8"/>
    </row>
    <row r="591">
      <c r="A591" s="9"/>
      <c r="J591" s="32"/>
      <c r="K591" s="33"/>
      <c r="L591" s="24"/>
      <c r="O591" s="8"/>
    </row>
    <row r="592">
      <c r="A592" s="9"/>
      <c r="J592" s="32"/>
      <c r="K592" s="33"/>
      <c r="L592" s="24"/>
      <c r="O592" s="8"/>
    </row>
    <row r="593">
      <c r="A593" s="9"/>
      <c r="J593" s="32"/>
      <c r="K593" s="33"/>
      <c r="L593" s="24"/>
      <c r="O593" s="8"/>
    </row>
    <row r="594">
      <c r="A594" s="9"/>
      <c r="J594" s="32"/>
      <c r="K594" s="33"/>
      <c r="L594" s="24"/>
      <c r="O594" s="8"/>
    </row>
    <row r="595">
      <c r="A595" s="9"/>
      <c r="J595" s="32"/>
      <c r="K595" s="33"/>
      <c r="L595" s="24"/>
      <c r="O595" s="8"/>
    </row>
    <row r="596">
      <c r="A596" s="9"/>
      <c r="J596" s="32"/>
      <c r="K596" s="33"/>
      <c r="L596" s="24"/>
      <c r="O596" s="8"/>
    </row>
    <row r="597">
      <c r="A597" s="9"/>
      <c r="J597" s="32"/>
      <c r="K597" s="33"/>
      <c r="L597" s="24"/>
      <c r="O597" s="8"/>
    </row>
    <row r="598">
      <c r="A598" s="9"/>
      <c r="J598" s="32"/>
      <c r="K598" s="33"/>
      <c r="L598" s="24"/>
      <c r="O598" s="8"/>
    </row>
    <row r="599">
      <c r="A599" s="9"/>
      <c r="J599" s="32"/>
      <c r="K599" s="33"/>
      <c r="L599" s="24"/>
      <c r="O599" s="8"/>
    </row>
    <row r="600">
      <c r="A600" s="9"/>
      <c r="J600" s="32"/>
      <c r="K600" s="33"/>
      <c r="L600" s="24"/>
      <c r="O600" s="8"/>
    </row>
    <row r="601">
      <c r="A601" s="9"/>
      <c r="J601" s="32"/>
      <c r="K601" s="33"/>
      <c r="L601" s="24"/>
      <c r="O601" s="8"/>
    </row>
    <row r="602">
      <c r="A602" s="9"/>
      <c r="J602" s="32"/>
      <c r="K602" s="33"/>
      <c r="L602" s="24"/>
      <c r="O602" s="8"/>
    </row>
    <row r="603">
      <c r="A603" s="9"/>
      <c r="J603" s="32"/>
      <c r="K603" s="33"/>
      <c r="L603" s="24"/>
      <c r="O603" s="8"/>
    </row>
    <row r="604">
      <c r="A604" s="9"/>
      <c r="J604" s="32"/>
      <c r="K604" s="33"/>
      <c r="L604" s="24"/>
      <c r="O604" s="8"/>
    </row>
    <row r="605">
      <c r="A605" s="9"/>
      <c r="J605" s="32"/>
      <c r="K605" s="33"/>
      <c r="L605" s="24"/>
      <c r="O605" s="8"/>
    </row>
    <row r="606">
      <c r="A606" s="9"/>
      <c r="J606" s="32"/>
      <c r="K606" s="33"/>
      <c r="L606" s="24"/>
      <c r="O606" s="8"/>
    </row>
    <row r="607">
      <c r="A607" s="9"/>
      <c r="J607" s="32"/>
      <c r="K607" s="33"/>
      <c r="L607" s="24"/>
      <c r="O607" s="8"/>
    </row>
    <row r="608">
      <c r="A608" s="9"/>
      <c r="J608" s="32"/>
      <c r="K608" s="33"/>
      <c r="L608" s="24"/>
      <c r="O608" s="8"/>
    </row>
    <row r="609">
      <c r="A609" s="9"/>
      <c r="J609" s="32"/>
      <c r="K609" s="33"/>
      <c r="L609" s="24"/>
      <c r="O609" s="8"/>
    </row>
    <row r="610">
      <c r="A610" s="9"/>
      <c r="J610" s="32"/>
      <c r="K610" s="33"/>
      <c r="L610" s="24"/>
      <c r="O610" s="8"/>
    </row>
    <row r="611">
      <c r="A611" s="9"/>
      <c r="J611" s="32"/>
      <c r="K611" s="33"/>
      <c r="L611" s="24"/>
      <c r="O611" s="8"/>
    </row>
    <row r="612">
      <c r="A612" s="9"/>
      <c r="J612" s="32"/>
      <c r="K612" s="33"/>
      <c r="L612" s="24"/>
      <c r="O612" s="8"/>
    </row>
    <row r="613">
      <c r="A613" s="9"/>
      <c r="J613" s="32"/>
      <c r="K613" s="33"/>
      <c r="L613" s="24"/>
      <c r="O613" s="8"/>
    </row>
    <row r="614">
      <c r="A614" s="9"/>
      <c r="J614" s="32"/>
      <c r="K614" s="33"/>
      <c r="L614" s="24"/>
      <c r="O614" s="8"/>
    </row>
    <row r="615">
      <c r="A615" s="9"/>
      <c r="J615" s="32"/>
      <c r="K615" s="33"/>
      <c r="L615" s="24"/>
      <c r="O615" s="8"/>
    </row>
    <row r="616">
      <c r="A616" s="9"/>
      <c r="J616" s="32"/>
      <c r="K616" s="33"/>
      <c r="L616" s="24"/>
      <c r="O616" s="8"/>
    </row>
    <row r="617">
      <c r="A617" s="9"/>
      <c r="J617" s="32"/>
      <c r="K617" s="33"/>
      <c r="L617" s="24"/>
      <c r="O617" s="8"/>
    </row>
    <row r="618">
      <c r="A618" s="9"/>
      <c r="J618" s="32"/>
      <c r="K618" s="33"/>
      <c r="L618" s="24"/>
      <c r="O618" s="8"/>
    </row>
    <row r="619">
      <c r="A619" s="9"/>
      <c r="J619" s="32"/>
      <c r="K619" s="33"/>
      <c r="L619" s="24"/>
      <c r="O619" s="8"/>
    </row>
    <row r="620">
      <c r="A620" s="9"/>
      <c r="J620" s="32"/>
      <c r="K620" s="33"/>
      <c r="L620" s="24"/>
      <c r="O620" s="8"/>
    </row>
    <row r="621">
      <c r="A621" s="9"/>
      <c r="J621" s="32"/>
      <c r="K621" s="33"/>
      <c r="L621" s="24"/>
      <c r="O621" s="8"/>
    </row>
    <row r="622">
      <c r="A622" s="9"/>
      <c r="J622" s="32"/>
      <c r="K622" s="33"/>
      <c r="L622" s="24"/>
      <c r="O622" s="8"/>
    </row>
    <row r="623">
      <c r="A623" s="9"/>
      <c r="J623" s="32"/>
      <c r="K623" s="33"/>
      <c r="L623" s="24"/>
      <c r="O623" s="8"/>
    </row>
    <row r="624">
      <c r="A624" s="9"/>
      <c r="J624" s="32"/>
      <c r="K624" s="33"/>
      <c r="L624" s="24"/>
      <c r="O624" s="8"/>
    </row>
    <row r="625">
      <c r="A625" s="9"/>
      <c r="J625" s="32"/>
      <c r="K625" s="33"/>
      <c r="L625" s="24"/>
      <c r="O625" s="8"/>
    </row>
    <row r="626">
      <c r="A626" s="9"/>
      <c r="J626" s="32"/>
      <c r="K626" s="33"/>
      <c r="L626" s="24"/>
      <c r="O626" s="8"/>
    </row>
    <row r="627">
      <c r="A627" s="9"/>
      <c r="J627" s="32"/>
      <c r="K627" s="33"/>
      <c r="L627" s="24"/>
      <c r="O627" s="8"/>
    </row>
    <row r="628">
      <c r="A628" s="9"/>
      <c r="J628" s="32"/>
      <c r="K628" s="33"/>
      <c r="L628" s="24"/>
      <c r="O628" s="8"/>
    </row>
    <row r="629">
      <c r="A629" s="9"/>
      <c r="J629" s="32"/>
      <c r="K629" s="33"/>
      <c r="L629" s="24"/>
      <c r="O629" s="8"/>
    </row>
    <row r="630">
      <c r="A630" s="9"/>
      <c r="J630" s="32"/>
      <c r="K630" s="33"/>
      <c r="L630" s="24"/>
      <c r="O630" s="8"/>
    </row>
    <row r="631">
      <c r="A631" s="9"/>
      <c r="J631" s="32"/>
      <c r="K631" s="33"/>
      <c r="L631" s="24"/>
      <c r="O631" s="8"/>
    </row>
    <row r="632">
      <c r="A632" s="9"/>
      <c r="J632" s="32"/>
      <c r="K632" s="33"/>
      <c r="L632" s="24"/>
      <c r="O632" s="8"/>
    </row>
    <row r="633">
      <c r="A633" s="9"/>
      <c r="J633" s="32"/>
      <c r="K633" s="33"/>
      <c r="L633" s="24"/>
      <c r="O633" s="8"/>
    </row>
    <row r="634">
      <c r="A634" s="9"/>
      <c r="J634" s="32"/>
      <c r="K634" s="33"/>
      <c r="L634" s="24"/>
      <c r="O634" s="8"/>
    </row>
    <row r="635">
      <c r="A635" s="9"/>
      <c r="J635" s="32"/>
      <c r="K635" s="33"/>
      <c r="L635" s="24"/>
      <c r="O635" s="8"/>
    </row>
    <row r="636">
      <c r="A636" s="9"/>
      <c r="J636" s="32"/>
      <c r="K636" s="33"/>
      <c r="L636" s="24"/>
      <c r="O636" s="8"/>
    </row>
    <row r="637">
      <c r="A637" s="9"/>
      <c r="J637" s="32"/>
      <c r="K637" s="33"/>
      <c r="L637" s="24"/>
      <c r="O637" s="8"/>
    </row>
    <row r="638">
      <c r="A638" s="9"/>
      <c r="J638" s="32"/>
      <c r="K638" s="33"/>
      <c r="L638" s="24"/>
      <c r="O638" s="8"/>
    </row>
    <row r="639">
      <c r="A639" s="9"/>
      <c r="J639" s="32"/>
      <c r="K639" s="33"/>
      <c r="L639" s="24"/>
      <c r="O639" s="8"/>
    </row>
    <row r="640">
      <c r="A640" s="9"/>
      <c r="J640" s="32"/>
      <c r="K640" s="33"/>
      <c r="L640" s="24"/>
      <c r="O640" s="8"/>
    </row>
    <row r="641">
      <c r="A641" s="9"/>
      <c r="J641" s="32"/>
      <c r="K641" s="33"/>
      <c r="L641" s="24"/>
      <c r="O641" s="8"/>
    </row>
    <row r="642">
      <c r="A642" s="9"/>
      <c r="J642" s="32"/>
      <c r="K642" s="33"/>
      <c r="L642" s="24"/>
      <c r="O642" s="8"/>
    </row>
    <row r="643">
      <c r="A643" s="9"/>
      <c r="J643" s="32"/>
      <c r="K643" s="33"/>
      <c r="L643" s="24"/>
      <c r="O643" s="8"/>
    </row>
    <row r="644">
      <c r="A644" s="9"/>
      <c r="J644" s="32"/>
      <c r="K644" s="33"/>
      <c r="L644" s="24"/>
      <c r="O644" s="8"/>
    </row>
    <row r="645">
      <c r="A645" s="9"/>
      <c r="J645" s="32"/>
      <c r="K645" s="33"/>
      <c r="L645" s="24"/>
      <c r="O645" s="8"/>
    </row>
    <row r="646">
      <c r="A646" s="9"/>
      <c r="J646" s="32"/>
      <c r="K646" s="33"/>
      <c r="L646" s="24"/>
      <c r="O646" s="8"/>
    </row>
    <row r="647">
      <c r="A647" s="9"/>
      <c r="J647" s="32"/>
      <c r="K647" s="33"/>
      <c r="L647" s="24"/>
      <c r="O647" s="8"/>
    </row>
    <row r="648">
      <c r="A648" s="9"/>
      <c r="J648" s="32"/>
      <c r="K648" s="33"/>
      <c r="L648" s="24"/>
      <c r="O648" s="8"/>
    </row>
    <row r="649">
      <c r="A649" s="9"/>
      <c r="J649" s="32"/>
      <c r="K649" s="33"/>
      <c r="L649" s="24"/>
      <c r="O649" s="8"/>
    </row>
    <row r="650">
      <c r="A650" s="9"/>
      <c r="J650" s="32"/>
      <c r="K650" s="33"/>
      <c r="L650" s="24"/>
      <c r="O650" s="8"/>
    </row>
    <row r="651">
      <c r="A651" s="9"/>
      <c r="J651" s="32"/>
      <c r="K651" s="33"/>
      <c r="L651" s="24"/>
      <c r="O651" s="8"/>
    </row>
    <row r="652">
      <c r="A652" s="9"/>
      <c r="J652" s="32"/>
      <c r="K652" s="33"/>
      <c r="L652" s="24"/>
      <c r="O652" s="8"/>
    </row>
    <row r="653">
      <c r="A653" s="9"/>
      <c r="J653" s="32"/>
      <c r="K653" s="33"/>
      <c r="L653" s="24"/>
      <c r="O653" s="8"/>
    </row>
    <row r="654">
      <c r="A654" s="9"/>
      <c r="J654" s="32"/>
      <c r="K654" s="33"/>
      <c r="L654" s="24"/>
      <c r="O654" s="8"/>
    </row>
    <row r="655">
      <c r="A655" s="9"/>
      <c r="J655" s="32"/>
      <c r="K655" s="33"/>
      <c r="L655" s="24"/>
      <c r="O655" s="8"/>
    </row>
    <row r="656">
      <c r="A656" s="9"/>
      <c r="J656" s="32"/>
      <c r="K656" s="33"/>
      <c r="L656" s="24"/>
      <c r="O656" s="8"/>
    </row>
    <row r="657">
      <c r="A657" s="9"/>
      <c r="J657" s="32"/>
      <c r="K657" s="33"/>
      <c r="L657" s="24"/>
      <c r="O657" s="8"/>
    </row>
    <row r="658">
      <c r="A658" s="9"/>
      <c r="J658" s="32"/>
      <c r="K658" s="33"/>
      <c r="L658" s="24"/>
      <c r="O658" s="8"/>
    </row>
    <row r="659">
      <c r="A659" s="9"/>
      <c r="J659" s="32"/>
      <c r="K659" s="33"/>
      <c r="L659" s="24"/>
      <c r="O659" s="8"/>
    </row>
    <row r="660">
      <c r="A660" s="9"/>
      <c r="J660" s="32"/>
      <c r="K660" s="33"/>
      <c r="L660" s="24"/>
      <c r="O660" s="8"/>
    </row>
    <row r="661">
      <c r="A661" s="9"/>
      <c r="J661" s="32"/>
      <c r="K661" s="33"/>
      <c r="L661" s="24"/>
      <c r="O661" s="8"/>
    </row>
    <row r="662">
      <c r="A662" s="9"/>
      <c r="J662" s="32"/>
      <c r="K662" s="33"/>
      <c r="L662" s="24"/>
      <c r="O662" s="8"/>
    </row>
    <row r="663">
      <c r="A663" s="9"/>
      <c r="J663" s="32"/>
      <c r="K663" s="33"/>
      <c r="L663" s="24"/>
      <c r="O663" s="8"/>
    </row>
    <row r="664">
      <c r="A664" s="9"/>
      <c r="J664" s="32"/>
      <c r="K664" s="33"/>
      <c r="L664" s="24"/>
      <c r="O664" s="8"/>
    </row>
    <row r="665">
      <c r="A665" s="9"/>
      <c r="J665" s="32"/>
      <c r="K665" s="33"/>
      <c r="L665" s="24"/>
      <c r="O665" s="8"/>
    </row>
    <row r="666">
      <c r="A666" s="9"/>
      <c r="J666" s="32"/>
      <c r="K666" s="33"/>
      <c r="L666" s="24"/>
      <c r="O666" s="8"/>
    </row>
    <row r="667">
      <c r="A667" s="9"/>
      <c r="J667" s="32"/>
      <c r="K667" s="33"/>
      <c r="L667" s="24"/>
      <c r="O667" s="8"/>
    </row>
    <row r="668">
      <c r="A668" s="9"/>
      <c r="J668" s="32"/>
      <c r="K668" s="33"/>
      <c r="L668" s="24"/>
      <c r="O668" s="8"/>
    </row>
    <row r="669">
      <c r="A669" s="9"/>
      <c r="J669" s="32"/>
      <c r="K669" s="33"/>
      <c r="L669" s="24"/>
      <c r="O669" s="8"/>
    </row>
    <row r="670">
      <c r="A670" s="9"/>
      <c r="J670" s="32"/>
      <c r="K670" s="33"/>
      <c r="L670" s="24"/>
      <c r="O670" s="8"/>
    </row>
    <row r="671">
      <c r="A671" s="9"/>
      <c r="J671" s="32"/>
      <c r="K671" s="33"/>
      <c r="L671" s="24"/>
      <c r="O671" s="8"/>
    </row>
    <row r="672">
      <c r="A672" s="9"/>
      <c r="J672" s="32"/>
      <c r="K672" s="33"/>
      <c r="L672" s="24"/>
      <c r="O672" s="8"/>
    </row>
    <row r="673">
      <c r="A673" s="9"/>
      <c r="J673" s="32"/>
      <c r="K673" s="33"/>
      <c r="L673" s="24"/>
      <c r="O673" s="8"/>
    </row>
    <row r="674">
      <c r="A674" s="9"/>
      <c r="J674" s="32"/>
      <c r="K674" s="33"/>
      <c r="L674" s="24"/>
      <c r="O674" s="8"/>
    </row>
    <row r="675">
      <c r="A675" s="9"/>
      <c r="J675" s="32"/>
      <c r="K675" s="33"/>
      <c r="L675" s="24"/>
      <c r="O675" s="8"/>
    </row>
    <row r="676">
      <c r="A676" s="9"/>
      <c r="J676" s="32"/>
      <c r="K676" s="33"/>
      <c r="L676" s="24"/>
      <c r="O676" s="8"/>
    </row>
    <row r="677">
      <c r="A677" s="9"/>
      <c r="J677" s="32"/>
      <c r="K677" s="33"/>
      <c r="L677" s="24"/>
      <c r="O677" s="8"/>
    </row>
    <row r="678">
      <c r="A678" s="9"/>
      <c r="J678" s="32"/>
      <c r="K678" s="33"/>
      <c r="L678" s="24"/>
      <c r="O678" s="8"/>
    </row>
    <row r="679">
      <c r="A679" s="9"/>
      <c r="J679" s="32"/>
      <c r="K679" s="33"/>
      <c r="L679" s="24"/>
      <c r="O679" s="8"/>
    </row>
    <row r="680">
      <c r="A680" s="9"/>
      <c r="J680" s="32"/>
      <c r="K680" s="33"/>
      <c r="L680" s="24"/>
      <c r="O680" s="8"/>
    </row>
    <row r="681">
      <c r="A681" s="9"/>
      <c r="J681" s="32"/>
      <c r="K681" s="33"/>
      <c r="L681" s="24"/>
      <c r="O681" s="8"/>
    </row>
    <row r="682">
      <c r="A682" s="9"/>
      <c r="J682" s="32"/>
      <c r="K682" s="33"/>
      <c r="L682" s="24"/>
      <c r="O682" s="8"/>
    </row>
    <row r="683">
      <c r="A683" s="9"/>
      <c r="J683" s="32"/>
      <c r="K683" s="33"/>
      <c r="L683" s="24"/>
      <c r="O683" s="8"/>
    </row>
    <row r="684">
      <c r="A684" s="9"/>
      <c r="J684" s="32"/>
      <c r="K684" s="33"/>
      <c r="L684" s="24"/>
      <c r="O684" s="8"/>
    </row>
    <row r="685">
      <c r="A685" s="9"/>
      <c r="J685" s="32"/>
      <c r="K685" s="33"/>
      <c r="L685" s="24"/>
      <c r="O685" s="8"/>
    </row>
    <row r="686">
      <c r="A686" s="9"/>
      <c r="J686" s="32"/>
      <c r="K686" s="33"/>
      <c r="L686" s="24"/>
      <c r="O686" s="8"/>
    </row>
    <row r="687">
      <c r="A687" s="9"/>
      <c r="J687" s="32"/>
      <c r="K687" s="33"/>
      <c r="L687" s="24"/>
      <c r="O687" s="8"/>
    </row>
    <row r="688">
      <c r="A688" s="9"/>
      <c r="J688" s="32"/>
      <c r="K688" s="33"/>
      <c r="L688" s="24"/>
      <c r="O688" s="8"/>
    </row>
    <row r="689">
      <c r="A689" s="9"/>
      <c r="J689" s="32"/>
      <c r="K689" s="33"/>
      <c r="L689" s="24"/>
      <c r="O689" s="8"/>
    </row>
    <row r="690">
      <c r="A690" s="9"/>
      <c r="J690" s="32"/>
      <c r="K690" s="33"/>
      <c r="L690" s="24"/>
      <c r="O690" s="8"/>
    </row>
    <row r="691">
      <c r="A691" s="9"/>
      <c r="J691" s="32"/>
      <c r="K691" s="33"/>
      <c r="L691" s="24"/>
      <c r="O691" s="8"/>
    </row>
    <row r="692">
      <c r="A692" s="9"/>
      <c r="J692" s="32"/>
      <c r="K692" s="33"/>
      <c r="L692" s="24"/>
      <c r="O692" s="8"/>
    </row>
    <row r="693">
      <c r="A693" s="9"/>
      <c r="J693" s="32"/>
      <c r="K693" s="33"/>
      <c r="L693" s="24"/>
      <c r="O693" s="8"/>
    </row>
    <row r="694">
      <c r="A694" s="9"/>
      <c r="J694" s="32"/>
      <c r="K694" s="33"/>
      <c r="L694" s="24"/>
      <c r="O694" s="8"/>
    </row>
    <row r="695">
      <c r="A695" s="9"/>
      <c r="J695" s="32"/>
      <c r="K695" s="33"/>
      <c r="L695" s="24"/>
      <c r="O695" s="8"/>
    </row>
    <row r="696">
      <c r="A696" s="9"/>
      <c r="J696" s="32"/>
      <c r="K696" s="33"/>
      <c r="L696" s="24"/>
      <c r="O696" s="8"/>
    </row>
    <row r="697">
      <c r="A697" s="9"/>
      <c r="J697" s="32"/>
      <c r="K697" s="33"/>
      <c r="L697" s="24"/>
      <c r="O697" s="8"/>
    </row>
    <row r="698">
      <c r="A698" s="9"/>
      <c r="J698" s="32"/>
      <c r="K698" s="33"/>
      <c r="L698" s="24"/>
      <c r="O698" s="8"/>
    </row>
    <row r="699">
      <c r="A699" s="9"/>
      <c r="J699" s="32"/>
      <c r="K699" s="33"/>
      <c r="L699" s="24"/>
      <c r="O699" s="8"/>
    </row>
    <row r="700">
      <c r="A700" s="9"/>
      <c r="J700" s="32"/>
      <c r="K700" s="33"/>
      <c r="L700" s="24"/>
      <c r="O700" s="8"/>
    </row>
    <row r="701">
      <c r="A701" s="9"/>
      <c r="J701" s="32"/>
      <c r="K701" s="33"/>
      <c r="L701" s="24"/>
      <c r="O701" s="8"/>
    </row>
    <row r="702">
      <c r="A702" s="9"/>
      <c r="J702" s="32"/>
      <c r="K702" s="33"/>
      <c r="L702" s="24"/>
      <c r="O702" s="8"/>
    </row>
    <row r="703">
      <c r="A703" s="9"/>
      <c r="J703" s="32"/>
      <c r="K703" s="33"/>
      <c r="L703" s="24"/>
      <c r="O703" s="8"/>
    </row>
    <row r="704">
      <c r="A704" s="9"/>
      <c r="J704" s="32"/>
      <c r="K704" s="33"/>
      <c r="L704" s="24"/>
      <c r="O704" s="8"/>
    </row>
    <row r="705">
      <c r="A705" s="9"/>
      <c r="J705" s="32"/>
      <c r="K705" s="33"/>
      <c r="L705" s="24"/>
      <c r="O705" s="8"/>
    </row>
    <row r="706">
      <c r="A706" s="9"/>
      <c r="J706" s="32"/>
      <c r="K706" s="33"/>
      <c r="L706" s="24"/>
      <c r="O706" s="8"/>
    </row>
    <row r="707">
      <c r="A707" s="9"/>
      <c r="J707" s="32"/>
      <c r="K707" s="33"/>
      <c r="L707" s="24"/>
      <c r="O707" s="8"/>
    </row>
    <row r="708">
      <c r="A708" s="9"/>
      <c r="J708" s="32"/>
      <c r="K708" s="33"/>
      <c r="L708" s="24"/>
      <c r="O708" s="8"/>
    </row>
    <row r="709">
      <c r="A709" s="9"/>
      <c r="J709" s="32"/>
      <c r="K709" s="33"/>
      <c r="L709" s="24"/>
      <c r="O709" s="8"/>
    </row>
    <row r="710">
      <c r="A710" s="9"/>
      <c r="J710" s="32"/>
      <c r="K710" s="33"/>
      <c r="L710" s="24"/>
      <c r="O710" s="8"/>
    </row>
    <row r="711">
      <c r="A711" s="9"/>
      <c r="J711" s="32"/>
      <c r="K711" s="33"/>
      <c r="L711" s="24"/>
      <c r="O711" s="8"/>
    </row>
    <row r="712">
      <c r="A712" s="9"/>
      <c r="J712" s="32"/>
      <c r="K712" s="33"/>
      <c r="L712" s="24"/>
      <c r="O712" s="8"/>
    </row>
    <row r="713">
      <c r="A713" s="9"/>
      <c r="J713" s="32"/>
      <c r="K713" s="33"/>
      <c r="L713" s="24"/>
      <c r="O713" s="8"/>
    </row>
    <row r="714">
      <c r="A714" s="9"/>
      <c r="J714" s="32"/>
      <c r="K714" s="33"/>
      <c r="L714" s="24"/>
      <c r="O714" s="8"/>
    </row>
    <row r="715">
      <c r="A715" s="9"/>
      <c r="J715" s="32"/>
      <c r="K715" s="33"/>
      <c r="L715" s="24"/>
      <c r="O715" s="8"/>
    </row>
    <row r="716">
      <c r="A716" s="9"/>
      <c r="J716" s="32"/>
      <c r="K716" s="33"/>
      <c r="L716" s="24"/>
      <c r="O716" s="8"/>
    </row>
    <row r="717">
      <c r="A717" s="9"/>
      <c r="J717" s="32"/>
      <c r="K717" s="33"/>
      <c r="L717" s="24"/>
      <c r="O717" s="8"/>
    </row>
    <row r="718">
      <c r="A718" s="9"/>
      <c r="J718" s="32"/>
      <c r="K718" s="33"/>
      <c r="L718" s="24"/>
      <c r="O718" s="8"/>
    </row>
    <row r="719">
      <c r="A719" s="9"/>
      <c r="J719" s="32"/>
      <c r="K719" s="33"/>
      <c r="L719" s="24"/>
      <c r="O719" s="8"/>
    </row>
    <row r="720">
      <c r="A720" s="9"/>
      <c r="J720" s="32"/>
      <c r="K720" s="33"/>
      <c r="L720" s="24"/>
      <c r="O720" s="8"/>
    </row>
    <row r="721">
      <c r="A721" s="9"/>
      <c r="J721" s="32"/>
      <c r="K721" s="33"/>
      <c r="L721" s="24"/>
      <c r="O721" s="8"/>
    </row>
    <row r="722">
      <c r="A722" s="9"/>
      <c r="J722" s="32"/>
      <c r="K722" s="33"/>
      <c r="L722" s="24"/>
      <c r="O722" s="8"/>
    </row>
    <row r="723">
      <c r="A723" s="9"/>
      <c r="J723" s="32"/>
      <c r="K723" s="33"/>
      <c r="L723" s="24"/>
      <c r="O723" s="8"/>
    </row>
    <row r="724">
      <c r="A724" s="9"/>
      <c r="J724" s="32"/>
      <c r="K724" s="33"/>
      <c r="L724" s="24"/>
      <c r="O724" s="8"/>
    </row>
    <row r="725">
      <c r="A725" s="9"/>
      <c r="J725" s="32"/>
      <c r="K725" s="33"/>
      <c r="L725" s="24"/>
      <c r="O725" s="8"/>
    </row>
    <row r="726">
      <c r="A726" s="9"/>
      <c r="J726" s="32"/>
      <c r="K726" s="33"/>
      <c r="L726" s="24"/>
      <c r="O726" s="8"/>
    </row>
    <row r="727">
      <c r="A727" s="9"/>
      <c r="J727" s="32"/>
      <c r="K727" s="33"/>
      <c r="L727" s="24"/>
      <c r="O727" s="8"/>
    </row>
    <row r="728">
      <c r="A728" s="9"/>
      <c r="J728" s="32"/>
      <c r="K728" s="33"/>
      <c r="L728" s="24"/>
      <c r="O728" s="8"/>
    </row>
    <row r="729">
      <c r="A729" s="9"/>
      <c r="J729" s="32"/>
      <c r="K729" s="33"/>
      <c r="L729" s="24"/>
      <c r="O729" s="8"/>
    </row>
    <row r="730">
      <c r="A730" s="9"/>
      <c r="J730" s="32"/>
      <c r="K730" s="33"/>
      <c r="L730" s="24"/>
      <c r="O730" s="8"/>
    </row>
    <row r="731">
      <c r="A731" s="9"/>
      <c r="J731" s="32"/>
      <c r="K731" s="33"/>
      <c r="L731" s="24"/>
      <c r="O731" s="8"/>
    </row>
    <row r="732">
      <c r="A732" s="9"/>
      <c r="J732" s="32"/>
      <c r="K732" s="33"/>
      <c r="L732" s="24"/>
      <c r="O732" s="8"/>
    </row>
    <row r="733">
      <c r="A733" s="9"/>
      <c r="J733" s="32"/>
      <c r="K733" s="33"/>
      <c r="L733" s="24"/>
      <c r="O733" s="8"/>
    </row>
    <row r="734">
      <c r="A734" s="9"/>
      <c r="J734" s="32"/>
      <c r="K734" s="33"/>
      <c r="L734" s="24"/>
      <c r="O734" s="8"/>
    </row>
    <row r="735">
      <c r="A735" s="9"/>
      <c r="J735" s="32"/>
      <c r="K735" s="33"/>
      <c r="L735" s="24"/>
      <c r="O735" s="8"/>
    </row>
    <row r="736">
      <c r="A736" s="9"/>
      <c r="J736" s="32"/>
      <c r="K736" s="33"/>
      <c r="L736" s="24"/>
      <c r="O736" s="8"/>
    </row>
    <row r="737">
      <c r="A737" s="9"/>
      <c r="J737" s="32"/>
      <c r="K737" s="33"/>
      <c r="L737" s="24"/>
      <c r="O737" s="8"/>
    </row>
    <row r="738">
      <c r="A738" s="9"/>
      <c r="J738" s="32"/>
      <c r="K738" s="33"/>
      <c r="L738" s="24"/>
      <c r="O738" s="8"/>
    </row>
    <row r="739">
      <c r="A739" s="9"/>
      <c r="J739" s="32"/>
      <c r="K739" s="33"/>
      <c r="L739" s="24"/>
      <c r="O739" s="8"/>
    </row>
    <row r="740">
      <c r="A740" s="9"/>
      <c r="J740" s="32"/>
      <c r="K740" s="33"/>
      <c r="L740" s="24"/>
      <c r="O740" s="8"/>
    </row>
    <row r="741">
      <c r="A741" s="9"/>
      <c r="J741" s="32"/>
      <c r="K741" s="33"/>
      <c r="L741" s="24"/>
      <c r="O741" s="8"/>
    </row>
    <row r="742">
      <c r="A742" s="9"/>
      <c r="J742" s="32"/>
      <c r="K742" s="33"/>
      <c r="L742" s="24"/>
      <c r="O742" s="8"/>
    </row>
    <row r="743">
      <c r="A743" s="9"/>
      <c r="J743" s="32"/>
      <c r="K743" s="33"/>
      <c r="L743" s="24"/>
      <c r="O743" s="8"/>
    </row>
    <row r="744">
      <c r="A744" s="9"/>
      <c r="J744" s="32"/>
      <c r="K744" s="33"/>
      <c r="L744" s="24"/>
      <c r="O744" s="8"/>
    </row>
    <row r="745">
      <c r="A745" s="9"/>
      <c r="J745" s="32"/>
      <c r="K745" s="33"/>
      <c r="L745" s="24"/>
      <c r="O745" s="8"/>
    </row>
    <row r="746">
      <c r="A746" s="9"/>
      <c r="J746" s="32"/>
      <c r="K746" s="33"/>
      <c r="L746" s="24"/>
      <c r="O746" s="8"/>
    </row>
    <row r="747">
      <c r="A747" s="9"/>
      <c r="J747" s="32"/>
      <c r="K747" s="33"/>
      <c r="L747" s="24"/>
      <c r="O747" s="8"/>
    </row>
    <row r="748">
      <c r="A748" s="9"/>
      <c r="J748" s="32"/>
      <c r="K748" s="33"/>
      <c r="L748" s="24"/>
      <c r="O748" s="8"/>
    </row>
    <row r="749">
      <c r="A749" s="9"/>
      <c r="J749" s="32"/>
      <c r="K749" s="33"/>
      <c r="L749" s="24"/>
      <c r="O749" s="8"/>
    </row>
    <row r="750">
      <c r="A750" s="9"/>
      <c r="J750" s="32"/>
      <c r="K750" s="33"/>
      <c r="L750" s="24"/>
      <c r="O750" s="8"/>
    </row>
    <row r="751">
      <c r="A751" s="9"/>
      <c r="J751" s="32"/>
      <c r="K751" s="33"/>
      <c r="L751" s="24"/>
      <c r="O751" s="8"/>
    </row>
    <row r="752">
      <c r="A752" s="9"/>
      <c r="J752" s="32"/>
      <c r="K752" s="33"/>
      <c r="L752" s="24"/>
      <c r="O752" s="8"/>
    </row>
    <row r="753">
      <c r="A753" s="9"/>
      <c r="J753" s="32"/>
      <c r="K753" s="33"/>
      <c r="L753" s="24"/>
      <c r="O753" s="8"/>
    </row>
    <row r="754">
      <c r="A754" s="9"/>
      <c r="J754" s="32"/>
      <c r="K754" s="33"/>
      <c r="L754" s="24"/>
      <c r="O754" s="8"/>
    </row>
    <row r="755">
      <c r="A755" s="9"/>
      <c r="J755" s="32"/>
      <c r="K755" s="33"/>
      <c r="L755" s="24"/>
      <c r="O755" s="8"/>
    </row>
    <row r="756">
      <c r="A756" s="9"/>
      <c r="J756" s="32"/>
      <c r="K756" s="33"/>
      <c r="L756" s="24"/>
      <c r="O756" s="8"/>
    </row>
    <row r="757">
      <c r="A757" s="9"/>
      <c r="J757" s="32"/>
      <c r="K757" s="33"/>
      <c r="L757" s="24"/>
      <c r="O757" s="8"/>
    </row>
    <row r="758">
      <c r="A758" s="9"/>
      <c r="J758" s="32"/>
      <c r="K758" s="33"/>
      <c r="L758" s="24"/>
      <c r="O758" s="8"/>
    </row>
    <row r="759">
      <c r="A759" s="9"/>
      <c r="J759" s="32"/>
      <c r="K759" s="33"/>
      <c r="L759" s="24"/>
      <c r="O759" s="8"/>
    </row>
    <row r="760">
      <c r="A760" s="9"/>
      <c r="J760" s="32"/>
      <c r="K760" s="33"/>
      <c r="L760" s="24"/>
      <c r="O760" s="8"/>
    </row>
    <row r="761">
      <c r="A761" s="9"/>
      <c r="J761" s="32"/>
      <c r="K761" s="33"/>
      <c r="L761" s="24"/>
      <c r="O761" s="8"/>
    </row>
    <row r="762">
      <c r="A762" s="9"/>
      <c r="J762" s="32"/>
      <c r="K762" s="33"/>
      <c r="L762" s="24"/>
      <c r="O762" s="8"/>
    </row>
    <row r="763">
      <c r="A763" s="9"/>
      <c r="J763" s="32"/>
      <c r="K763" s="33"/>
      <c r="L763" s="24"/>
      <c r="O763" s="8"/>
    </row>
    <row r="764">
      <c r="A764" s="9"/>
      <c r="J764" s="32"/>
      <c r="K764" s="33"/>
      <c r="L764" s="24"/>
      <c r="O764" s="8"/>
    </row>
    <row r="765">
      <c r="A765" s="9"/>
      <c r="J765" s="32"/>
      <c r="K765" s="33"/>
      <c r="L765" s="24"/>
      <c r="O765" s="8"/>
    </row>
    <row r="766">
      <c r="A766" s="9"/>
      <c r="J766" s="32"/>
      <c r="K766" s="33"/>
      <c r="L766" s="24"/>
      <c r="O766" s="8"/>
    </row>
    <row r="767">
      <c r="A767" s="9"/>
      <c r="J767" s="32"/>
      <c r="K767" s="33"/>
      <c r="L767" s="24"/>
      <c r="O767" s="8"/>
    </row>
    <row r="768">
      <c r="A768" s="9"/>
      <c r="J768" s="32"/>
      <c r="K768" s="33"/>
      <c r="L768" s="24"/>
      <c r="O768" s="8"/>
    </row>
    <row r="769">
      <c r="A769" s="9"/>
      <c r="J769" s="32"/>
      <c r="K769" s="33"/>
      <c r="L769" s="24"/>
      <c r="O769" s="8"/>
    </row>
    <row r="770">
      <c r="A770" s="9"/>
      <c r="J770" s="32"/>
      <c r="K770" s="33"/>
      <c r="L770" s="24"/>
      <c r="O770" s="8"/>
    </row>
    <row r="771">
      <c r="A771" s="9"/>
      <c r="J771" s="32"/>
      <c r="K771" s="33"/>
      <c r="L771" s="24"/>
      <c r="O771" s="8"/>
    </row>
    <row r="772">
      <c r="A772" s="9"/>
      <c r="J772" s="32"/>
      <c r="K772" s="33"/>
      <c r="L772" s="24"/>
      <c r="O772" s="8"/>
    </row>
    <row r="773">
      <c r="A773" s="9"/>
      <c r="J773" s="32"/>
      <c r="K773" s="33"/>
      <c r="L773" s="24"/>
      <c r="O773" s="8"/>
    </row>
    <row r="774">
      <c r="A774" s="9"/>
      <c r="J774" s="32"/>
      <c r="K774" s="33"/>
      <c r="L774" s="24"/>
      <c r="O774" s="8"/>
    </row>
    <row r="775">
      <c r="A775" s="9"/>
      <c r="J775" s="32"/>
      <c r="K775" s="33"/>
      <c r="L775" s="24"/>
      <c r="O775" s="8"/>
    </row>
    <row r="776">
      <c r="A776" s="9"/>
      <c r="J776" s="32"/>
      <c r="K776" s="33"/>
      <c r="L776" s="24"/>
      <c r="O776" s="8"/>
    </row>
    <row r="777">
      <c r="A777" s="9"/>
      <c r="J777" s="32"/>
      <c r="K777" s="33"/>
      <c r="L777" s="24"/>
      <c r="O777" s="8"/>
    </row>
    <row r="778">
      <c r="A778" s="9"/>
      <c r="J778" s="32"/>
      <c r="K778" s="33"/>
      <c r="L778" s="24"/>
      <c r="O778" s="8"/>
    </row>
    <row r="779">
      <c r="A779" s="9"/>
      <c r="J779" s="32"/>
      <c r="K779" s="33"/>
      <c r="L779" s="24"/>
      <c r="O779" s="8"/>
    </row>
    <row r="780">
      <c r="A780" s="9"/>
      <c r="J780" s="32"/>
      <c r="K780" s="33"/>
      <c r="L780" s="24"/>
      <c r="O780" s="8"/>
    </row>
    <row r="781">
      <c r="A781" s="9"/>
      <c r="J781" s="32"/>
      <c r="K781" s="33"/>
      <c r="L781" s="24"/>
      <c r="O781" s="8"/>
    </row>
    <row r="782">
      <c r="A782" s="9"/>
      <c r="J782" s="32"/>
      <c r="K782" s="33"/>
      <c r="L782" s="24"/>
      <c r="O782" s="8"/>
    </row>
    <row r="783">
      <c r="A783" s="9"/>
      <c r="J783" s="32"/>
      <c r="K783" s="33"/>
      <c r="L783" s="24"/>
      <c r="O783" s="8"/>
    </row>
    <row r="784">
      <c r="A784" s="9"/>
      <c r="J784" s="32"/>
      <c r="K784" s="33"/>
      <c r="L784" s="24"/>
      <c r="O784" s="8"/>
    </row>
    <row r="785">
      <c r="A785" s="9"/>
      <c r="J785" s="32"/>
      <c r="K785" s="33"/>
      <c r="L785" s="24"/>
      <c r="O785" s="8"/>
    </row>
    <row r="786">
      <c r="A786" s="9"/>
      <c r="J786" s="32"/>
      <c r="K786" s="33"/>
      <c r="L786" s="24"/>
      <c r="O786" s="8"/>
    </row>
    <row r="787">
      <c r="A787" s="9"/>
      <c r="J787" s="32"/>
      <c r="K787" s="33"/>
      <c r="L787" s="24"/>
      <c r="O787" s="8"/>
    </row>
    <row r="788">
      <c r="A788" s="9"/>
      <c r="J788" s="32"/>
      <c r="K788" s="33"/>
      <c r="L788" s="24"/>
      <c r="O788" s="8"/>
    </row>
    <row r="789">
      <c r="A789" s="9"/>
      <c r="J789" s="32"/>
      <c r="K789" s="33"/>
      <c r="L789" s="24"/>
      <c r="O789" s="8"/>
    </row>
    <row r="790">
      <c r="A790" s="9"/>
      <c r="J790" s="32"/>
      <c r="K790" s="33"/>
      <c r="L790" s="24"/>
      <c r="O790" s="8"/>
    </row>
    <row r="791">
      <c r="A791" s="9"/>
      <c r="J791" s="32"/>
      <c r="K791" s="33"/>
      <c r="L791" s="24"/>
      <c r="O791" s="8"/>
    </row>
    <row r="792">
      <c r="A792" s="9"/>
      <c r="J792" s="32"/>
      <c r="K792" s="33"/>
      <c r="L792" s="24"/>
      <c r="O792" s="8"/>
    </row>
    <row r="793">
      <c r="A793" s="9"/>
      <c r="J793" s="32"/>
      <c r="K793" s="33"/>
      <c r="L793" s="24"/>
      <c r="O793" s="8"/>
    </row>
    <row r="794">
      <c r="A794" s="9"/>
      <c r="J794" s="32"/>
      <c r="K794" s="33"/>
      <c r="L794" s="24"/>
      <c r="O794" s="8"/>
    </row>
    <row r="795">
      <c r="A795" s="9"/>
      <c r="J795" s="32"/>
      <c r="K795" s="33"/>
      <c r="L795" s="24"/>
      <c r="O795" s="8"/>
    </row>
    <row r="796">
      <c r="A796" s="9"/>
      <c r="J796" s="32"/>
      <c r="K796" s="33"/>
      <c r="L796" s="24"/>
      <c r="O796" s="8"/>
    </row>
    <row r="797">
      <c r="A797" s="9"/>
      <c r="J797" s="32"/>
      <c r="K797" s="33"/>
      <c r="L797" s="24"/>
      <c r="O797" s="8"/>
    </row>
    <row r="798">
      <c r="A798" s="9"/>
      <c r="J798" s="32"/>
      <c r="K798" s="33"/>
      <c r="L798" s="24"/>
      <c r="O798" s="8"/>
    </row>
    <row r="799">
      <c r="A799" s="9"/>
      <c r="J799" s="32"/>
      <c r="K799" s="33"/>
      <c r="L799" s="24"/>
      <c r="O799" s="8"/>
    </row>
    <row r="800">
      <c r="A800" s="9"/>
      <c r="J800" s="32"/>
      <c r="K800" s="33"/>
      <c r="L800" s="24"/>
      <c r="O800" s="8"/>
    </row>
    <row r="801">
      <c r="A801" s="9"/>
      <c r="J801" s="32"/>
      <c r="K801" s="33"/>
      <c r="L801" s="24"/>
      <c r="O801" s="8"/>
    </row>
    <row r="802">
      <c r="A802" s="9"/>
      <c r="J802" s="32"/>
      <c r="K802" s="33"/>
      <c r="L802" s="24"/>
      <c r="O802" s="8"/>
    </row>
    <row r="803">
      <c r="A803" s="9"/>
      <c r="J803" s="32"/>
      <c r="K803" s="33"/>
      <c r="L803" s="24"/>
      <c r="O803" s="8"/>
    </row>
    <row r="804">
      <c r="A804" s="9"/>
      <c r="J804" s="32"/>
      <c r="K804" s="33"/>
      <c r="L804" s="24"/>
      <c r="O804" s="8"/>
    </row>
    <row r="805">
      <c r="A805" s="9"/>
      <c r="J805" s="32"/>
      <c r="K805" s="33"/>
      <c r="L805" s="24"/>
      <c r="O805" s="8"/>
    </row>
    <row r="806">
      <c r="A806" s="9"/>
      <c r="J806" s="32"/>
      <c r="K806" s="33"/>
      <c r="L806" s="24"/>
      <c r="O806" s="8"/>
    </row>
    <row r="807">
      <c r="A807" s="9"/>
      <c r="J807" s="32"/>
      <c r="K807" s="33"/>
      <c r="L807" s="24"/>
      <c r="O807" s="8"/>
    </row>
    <row r="808">
      <c r="A808" s="9"/>
      <c r="J808" s="32"/>
      <c r="K808" s="33"/>
      <c r="L808" s="24"/>
      <c r="O808" s="8"/>
    </row>
    <row r="809">
      <c r="A809" s="9"/>
      <c r="J809" s="32"/>
      <c r="K809" s="33"/>
      <c r="L809" s="24"/>
      <c r="O809" s="8"/>
    </row>
    <row r="810">
      <c r="A810" s="9"/>
      <c r="J810" s="32"/>
      <c r="K810" s="33"/>
      <c r="L810" s="24"/>
      <c r="O810" s="8"/>
    </row>
    <row r="811">
      <c r="A811" s="9"/>
      <c r="J811" s="32"/>
      <c r="K811" s="33"/>
      <c r="L811" s="24"/>
      <c r="O811" s="8"/>
    </row>
    <row r="812">
      <c r="A812" s="9"/>
      <c r="J812" s="32"/>
      <c r="K812" s="33"/>
      <c r="L812" s="24"/>
      <c r="O812" s="8"/>
    </row>
    <row r="813">
      <c r="A813" s="9"/>
      <c r="J813" s="32"/>
      <c r="K813" s="33"/>
      <c r="L813" s="24"/>
      <c r="O813" s="8"/>
    </row>
    <row r="814">
      <c r="A814" s="9"/>
      <c r="J814" s="32"/>
      <c r="K814" s="33"/>
      <c r="L814" s="24"/>
      <c r="O814" s="8"/>
    </row>
    <row r="815">
      <c r="A815" s="9"/>
      <c r="J815" s="32"/>
      <c r="K815" s="33"/>
      <c r="L815" s="24"/>
      <c r="O815" s="8"/>
    </row>
    <row r="816">
      <c r="A816" s="9"/>
      <c r="J816" s="32"/>
      <c r="K816" s="33"/>
      <c r="L816" s="24"/>
      <c r="O816" s="8"/>
    </row>
    <row r="817">
      <c r="A817" s="9"/>
      <c r="J817" s="32"/>
      <c r="K817" s="33"/>
      <c r="L817" s="24"/>
      <c r="O817" s="8"/>
    </row>
    <row r="818">
      <c r="A818" s="9"/>
      <c r="J818" s="32"/>
      <c r="K818" s="33"/>
      <c r="L818" s="24"/>
      <c r="O818" s="8"/>
    </row>
    <row r="819">
      <c r="A819" s="9"/>
      <c r="J819" s="32"/>
      <c r="K819" s="33"/>
      <c r="L819" s="24"/>
      <c r="O819" s="8"/>
    </row>
    <row r="820">
      <c r="A820" s="9"/>
      <c r="J820" s="32"/>
      <c r="K820" s="33"/>
      <c r="L820" s="24"/>
      <c r="O820" s="8"/>
    </row>
    <row r="821">
      <c r="A821" s="9"/>
      <c r="J821" s="32"/>
      <c r="K821" s="33"/>
      <c r="L821" s="24"/>
      <c r="O821" s="8"/>
    </row>
    <row r="822">
      <c r="A822" s="9"/>
      <c r="J822" s="32"/>
      <c r="K822" s="33"/>
      <c r="L822" s="24"/>
      <c r="O822" s="8"/>
    </row>
    <row r="823">
      <c r="A823" s="9"/>
      <c r="J823" s="32"/>
      <c r="K823" s="33"/>
      <c r="L823" s="24"/>
      <c r="O823" s="8"/>
    </row>
    <row r="824">
      <c r="A824" s="9"/>
      <c r="J824" s="32"/>
      <c r="K824" s="33"/>
      <c r="L824" s="24"/>
      <c r="O824" s="8"/>
    </row>
    <row r="825">
      <c r="A825" s="9"/>
      <c r="J825" s="32"/>
      <c r="K825" s="33"/>
      <c r="L825" s="24"/>
      <c r="O825" s="8"/>
    </row>
    <row r="826">
      <c r="A826" s="9"/>
      <c r="J826" s="32"/>
      <c r="K826" s="33"/>
      <c r="L826" s="24"/>
      <c r="O826" s="8"/>
    </row>
    <row r="827">
      <c r="A827" s="9"/>
      <c r="J827" s="32"/>
      <c r="K827" s="33"/>
      <c r="L827" s="24"/>
      <c r="O827" s="8"/>
    </row>
    <row r="828">
      <c r="A828" s="9"/>
      <c r="J828" s="32"/>
      <c r="K828" s="33"/>
      <c r="L828" s="24"/>
      <c r="O828" s="8"/>
    </row>
    <row r="829">
      <c r="A829" s="9"/>
      <c r="J829" s="32"/>
      <c r="K829" s="33"/>
      <c r="L829" s="24"/>
      <c r="O829" s="8"/>
    </row>
    <row r="830">
      <c r="A830" s="9"/>
      <c r="J830" s="32"/>
      <c r="K830" s="33"/>
      <c r="L830" s="24"/>
      <c r="O830" s="8"/>
    </row>
    <row r="831">
      <c r="A831" s="9"/>
      <c r="J831" s="32"/>
      <c r="K831" s="33"/>
      <c r="L831" s="24"/>
      <c r="O831" s="8"/>
    </row>
    <row r="832">
      <c r="A832" s="9"/>
      <c r="J832" s="32"/>
      <c r="K832" s="33"/>
      <c r="L832" s="24"/>
      <c r="O832" s="8"/>
    </row>
    <row r="833">
      <c r="A833" s="9"/>
      <c r="J833" s="32"/>
      <c r="K833" s="33"/>
      <c r="L833" s="24"/>
      <c r="O833" s="8"/>
    </row>
    <row r="834">
      <c r="A834" s="9"/>
      <c r="J834" s="32"/>
      <c r="K834" s="33"/>
      <c r="L834" s="24"/>
      <c r="O834" s="8"/>
    </row>
    <row r="835">
      <c r="A835" s="9"/>
      <c r="J835" s="32"/>
      <c r="K835" s="33"/>
      <c r="L835" s="24"/>
      <c r="O835" s="8"/>
    </row>
    <row r="836">
      <c r="A836" s="9"/>
      <c r="J836" s="32"/>
      <c r="K836" s="33"/>
      <c r="L836" s="24"/>
      <c r="O836" s="8"/>
    </row>
    <row r="837">
      <c r="A837" s="9"/>
      <c r="J837" s="32"/>
      <c r="K837" s="33"/>
      <c r="L837" s="24"/>
      <c r="O837" s="8"/>
    </row>
    <row r="838">
      <c r="A838" s="9"/>
      <c r="J838" s="32"/>
      <c r="K838" s="33"/>
      <c r="L838" s="24"/>
      <c r="O838" s="8"/>
    </row>
    <row r="839">
      <c r="A839" s="9"/>
      <c r="J839" s="32"/>
      <c r="K839" s="33"/>
      <c r="L839" s="24"/>
      <c r="O839" s="8"/>
    </row>
    <row r="840">
      <c r="A840" s="9"/>
      <c r="J840" s="32"/>
      <c r="K840" s="33"/>
      <c r="L840" s="24"/>
      <c r="O840" s="8"/>
    </row>
    <row r="841">
      <c r="A841" s="9"/>
      <c r="J841" s="32"/>
      <c r="K841" s="33"/>
      <c r="L841" s="24"/>
      <c r="O841" s="8"/>
    </row>
    <row r="842">
      <c r="A842" s="9"/>
      <c r="J842" s="32"/>
      <c r="K842" s="33"/>
      <c r="L842" s="24"/>
      <c r="O842" s="8"/>
    </row>
    <row r="843">
      <c r="A843" s="9"/>
      <c r="J843" s="32"/>
      <c r="K843" s="33"/>
      <c r="L843" s="24"/>
      <c r="O843" s="8"/>
    </row>
    <row r="844">
      <c r="A844" s="9"/>
      <c r="J844" s="32"/>
      <c r="K844" s="33"/>
      <c r="L844" s="24"/>
      <c r="O844" s="8"/>
    </row>
    <row r="845">
      <c r="A845" s="9"/>
      <c r="J845" s="32"/>
      <c r="K845" s="33"/>
      <c r="L845" s="24"/>
      <c r="O845" s="8"/>
    </row>
    <row r="846">
      <c r="A846" s="9"/>
      <c r="J846" s="32"/>
      <c r="K846" s="33"/>
      <c r="L846" s="24"/>
      <c r="O846" s="8"/>
    </row>
    <row r="847">
      <c r="A847" s="9"/>
      <c r="J847" s="32"/>
      <c r="K847" s="33"/>
      <c r="L847" s="24"/>
      <c r="O847" s="8"/>
    </row>
    <row r="848">
      <c r="A848" s="9"/>
      <c r="J848" s="32"/>
      <c r="K848" s="33"/>
      <c r="L848" s="24"/>
      <c r="O848" s="8"/>
    </row>
    <row r="849">
      <c r="A849" s="9"/>
      <c r="J849" s="32"/>
      <c r="K849" s="33"/>
      <c r="L849" s="24"/>
      <c r="O849" s="8"/>
    </row>
    <row r="850">
      <c r="A850" s="9"/>
      <c r="J850" s="32"/>
      <c r="K850" s="33"/>
      <c r="L850" s="24"/>
      <c r="O850" s="8"/>
    </row>
    <row r="851">
      <c r="A851" s="9"/>
      <c r="J851" s="32"/>
      <c r="K851" s="33"/>
      <c r="L851" s="24"/>
      <c r="O851" s="8"/>
    </row>
    <row r="852">
      <c r="A852" s="9"/>
      <c r="J852" s="32"/>
      <c r="K852" s="33"/>
      <c r="L852" s="24"/>
      <c r="O852" s="8"/>
    </row>
    <row r="853">
      <c r="A853" s="9"/>
      <c r="J853" s="32"/>
      <c r="K853" s="33"/>
      <c r="L853" s="24"/>
      <c r="O853" s="8"/>
    </row>
    <row r="854">
      <c r="A854" s="9"/>
      <c r="J854" s="32"/>
      <c r="K854" s="33"/>
      <c r="L854" s="24"/>
      <c r="O854" s="8"/>
    </row>
    <row r="855">
      <c r="A855" s="9"/>
      <c r="J855" s="32"/>
      <c r="K855" s="33"/>
      <c r="L855" s="24"/>
      <c r="O855" s="8"/>
    </row>
    <row r="856">
      <c r="A856" s="9"/>
      <c r="J856" s="32"/>
      <c r="K856" s="33"/>
      <c r="L856" s="24"/>
      <c r="O856" s="8"/>
    </row>
    <row r="857">
      <c r="A857" s="9"/>
      <c r="J857" s="32"/>
      <c r="K857" s="33"/>
      <c r="L857" s="24"/>
      <c r="O857" s="8"/>
    </row>
    <row r="858">
      <c r="A858" s="9"/>
      <c r="J858" s="32"/>
      <c r="K858" s="33"/>
      <c r="L858" s="24"/>
      <c r="O858" s="8"/>
    </row>
    <row r="859">
      <c r="A859" s="9"/>
      <c r="J859" s="32"/>
      <c r="K859" s="33"/>
      <c r="L859" s="24"/>
      <c r="O859" s="8"/>
    </row>
    <row r="860">
      <c r="A860" s="9"/>
      <c r="J860" s="32"/>
      <c r="K860" s="33"/>
      <c r="L860" s="24"/>
      <c r="O860" s="8"/>
    </row>
    <row r="861">
      <c r="A861" s="9"/>
      <c r="J861" s="32"/>
      <c r="K861" s="33"/>
      <c r="L861" s="24"/>
      <c r="O861" s="8"/>
    </row>
    <row r="862">
      <c r="A862" s="9"/>
      <c r="J862" s="32"/>
      <c r="K862" s="33"/>
      <c r="L862" s="24"/>
      <c r="O862" s="8"/>
    </row>
    <row r="863">
      <c r="A863" s="9"/>
      <c r="J863" s="32"/>
      <c r="K863" s="33"/>
      <c r="L863" s="24"/>
      <c r="O863" s="8"/>
    </row>
    <row r="864">
      <c r="A864" s="9"/>
      <c r="J864" s="32"/>
      <c r="K864" s="33"/>
      <c r="L864" s="24"/>
      <c r="O864" s="8"/>
    </row>
    <row r="865">
      <c r="A865" s="9"/>
      <c r="J865" s="32"/>
      <c r="K865" s="33"/>
      <c r="L865" s="24"/>
      <c r="O865" s="8"/>
    </row>
    <row r="866">
      <c r="A866" s="9"/>
      <c r="J866" s="32"/>
      <c r="K866" s="33"/>
      <c r="L866" s="24"/>
      <c r="O866" s="8"/>
    </row>
    <row r="867">
      <c r="A867" s="9"/>
      <c r="J867" s="32"/>
      <c r="K867" s="33"/>
      <c r="L867" s="24"/>
      <c r="O867" s="8"/>
    </row>
    <row r="868">
      <c r="A868" s="9"/>
      <c r="J868" s="32"/>
      <c r="K868" s="33"/>
      <c r="L868" s="24"/>
      <c r="O868" s="8"/>
    </row>
    <row r="869">
      <c r="A869" s="9"/>
      <c r="J869" s="32"/>
      <c r="K869" s="33"/>
      <c r="L869" s="24"/>
      <c r="O869" s="8"/>
    </row>
    <row r="870">
      <c r="A870" s="9"/>
      <c r="J870" s="32"/>
      <c r="K870" s="33"/>
      <c r="L870" s="24"/>
      <c r="O870" s="8"/>
    </row>
    <row r="871">
      <c r="A871" s="9"/>
      <c r="J871" s="32"/>
      <c r="K871" s="33"/>
      <c r="L871" s="24"/>
      <c r="O871" s="8"/>
    </row>
    <row r="872">
      <c r="A872" s="9"/>
      <c r="J872" s="32"/>
      <c r="K872" s="33"/>
      <c r="L872" s="24"/>
      <c r="O872" s="8"/>
    </row>
    <row r="873">
      <c r="A873" s="9"/>
      <c r="J873" s="32"/>
      <c r="K873" s="33"/>
      <c r="L873" s="24"/>
      <c r="O873" s="8"/>
    </row>
    <row r="874">
      <c r="A874" s="9"/>
      <c r="J874" s="32"/>
      <c r="K874" s="33"/>
      <c r="L874" s="24"/>
      <c r="O874" s="8"/>
    </row>
    <row r="875">
      <c r="A875" s="9"/>
      <c r="J875" s="32"/>
      <c r="K875" s="33"/>
      <c r="L875" s="24"/>
      <c r="O875" s="8"/>
    </row>
    <row r="876">
      <c r="A876" s="9"/>
      <c r="J876" s="32"/>
      <c r="K876" s="33"/>
      <c r="L876" s="24"/>
      <c r="O876" s="8"/>
    </row>
    <row r="877">
      <c r="A877" s="9"/>
      <c r="J877" s="32"/>
      <c r="K877" s="33"/>
      <c r="L877" s="24"/>
      <c r="O877" s="8"/>
    </row>
    <row r="878">
      <c r="A878" s="9"/>
      <c r="J878" s="32"/>
      <c r="K878" s="33"/>
      <c r="L878" s="24"/>
      <c r="O878" s="8"/>
    </row>
    <row r="879">
      <c r="A879" s="9"/>
      <c r="J879" s="32"/>
      <c r="K879" s="33"/>
      <c r="L879" s="24"/>
      <c r="O879" s="8"/>
    </row>
    <row r="880">
      <c r="A880" s="9"/>
      <c r="J880" s="32"/>
      <c r="K880" s="33"/>
      <c r="L880" s="24"/>
      <c r="O880" s="8"/>
    </row>
    <row r="881">
      <c r="A881" s="9"/>
      <c r="J881" s="32"/>
      <c r="K881" s="33"/>
      <c r="L881" s="24"/>
      <c r="O881" s="8"/>
    </row>
    <row r="882">
      <c r="A882" s="9"/>
      <c r="J882" s="32"/>
      <c r="K882" s="33"/>
      <c r="L882" s="24"/>
      <c r="O882" s="8"/>
    </row>
    <row r="883">
      <c r="A883" s="9"/>
      <c r="J883" s="32"/>
      <c r="K883" s="33"/>
      <c r="L883" s="24"/>
      <c r="O883" s="8"/>
    </row>
    <row r="884">
      <c r="A884" s="9"/>
      <c r="J884" s="32"/>
      <c r="K884" s="33"/>
      <c r="L884" s="24"/>
      <c r="O884" s="8"/>
    </row>
    <row r="885">
      <c r="A885" s="9"/>
      <c r="J885" s="32"/>
      <c r="K885" s="33"/>
      <c r="L885" s="24"/>
      <c r="O885" s="8"/>
    </row>
    <row r="886">
      <c r="A886" s="9"/>
      <c r="J886" s="32"/>
      <c r="K886" s="33"/>
      <c r="L886" s="24"/>
      <c r="O886" s="8"/>
    </row>
    <row r="887">
      <c r="A887" s="9"/>
      <c r="J887" s="32"/>
      <c r="K887" s="33"/>
      <c r="L887" s="24"/>
      <c r="O887" s="8"/>
    </row>
    <row r="888">
      <c r="A888" s="9"/>
      <c r="J888" s="32"/>
      <c r="K888" s="33"/>
      <c r="L888" s="24"/>
      <c r="O888" s="8"/>
    </row>
    <row r="889">
      <c r="A889" s="9"/>
      <c r="J889" s="32"/>
      <c r="K889" s="33"/>
      <c r="L889" s="24"/>
      <c r="O889" s="8"/>
    </row>
    <row r="890">
      <c r="A890" s="9"/>
      <c r="J890" s="32"/>
      <c r="K890" s="33"/>
      <c r="L890" s="24"/>
      <c r="O890" s="8"/>
    </row>
    <row r="891">
      <c r="A891" s="9"/>
      <c r="J891" s="32"/>
      <c r="K891" s="33"/>
      <c r="L891" s="24"/>
      <c r="O891" s="8"/>
    </row>
    <row r="892">
      <c r="A892" s="9"/>
      <c r="J892" s="32"/>
      <c r="K892" s="33"/>
      <c r="L892" s="24"/>
      <c r="O892" s="8"/>
    </row>
    <row r="893">
      <c r="A893" s="9"/>
      <c r="J893" s="32"/>
      <c r="K893" s="33"/>
      <c r="L893" s="24"/>
      <c r="O893" s="8"/>
    </row>
    <row r="894">
      <c r="A894" s="9"/>
      <c r="J894" s="32"/>
      <c r="K894" s="33"/>
      <c r="L894" s="24"/>
      <c r="O894" s="8"/>
    </row>
    <row r="895">
      <c r="A895" s="9"/>
      <c r="J895" s="32"/>
      <c r="K895" s="33"/>
      <c r="L895" s="24"/>
      <c r="O895" s="8"/>
    </row>
    <row r="896">
      <c r="A896" s="9"/>
      <c r="J896" s="32"/>
      <c r="K896" s="33"/>
      <c r="L896" s="24"/>
      <c r="O896" s="8"/>
    </row>
    <row r="897">
      <c r="A897" s="9"/>
      <c r="J897" s="32"/>
      <c r="K897" s="33"/>
      <c r="L897" s="24"/>
      <c r="O897" s="8"/>
    </row>
    <row r="898">
      <c r="A898" s="9"/>
      <c r="J898" s="32"/>
      <c r="K898" s="33"/>
      <c r="L898" s="24"/>
      <c r="O898" s="8"/>
    </row>
    <row r="899">
      <c r="A899" s="9"/>
      <c r="J899" s="32"/>
      <c r="K899" s="33"/>
      <c r="L899" s="24"/>
      <c r="O899" s="8"/>
    </row>
    <row r="900">
      <c r="A900" s="9"/>
      <c r="J900" s="32"/>
      <c r="K900" s="33"/>
      <c r="L900" s="24"/>
      <c r="O900" s="8"/>
    </row>
    <row r="901">
      <c r="A901" s="9"/>
      <c r="J901" s="32"/>
      <c r="K901" s="33"/>
      <c r="L901" s="24"/>
      <c r="O901" s="8"/>
    </row>
    <row r="902">
      <c r="A902" s="9"/>
      <c r="J902" s="32"/>
      <c r="K902" s="33"/>
      <c r="L902" s="24"/>
      <c r="O902" s="8"/>
    </row>
    <row r="903">
      <c r="A903" s="9"/>
      <c r="J903" s="32"/>
      <c r="K903" s="33"/>
      <c r="L903" s="24"/>
      <c r="O903" s="8"/>
    </row>
    <row r="904">
      <c r="A904" s="9"/>
      <c r="J904" s="32"/>
      <c r="K904" s="33"/>
      <c r="L904" s="24"/>
      <c r="O904" s="8"/>
    </row>
    <row r="905">
      <c r="A905" s="9"/>
      <c r="J905" s="32"/>
      <c r="K905" s="33"/>
      <c r="L905" s="24"/>
      <c r="O905" s="8"/>
    </row>
    <row r="906">
      <c r="A906" s="9"/>
      <c r="J906" s="32"/>
      <c r="K906" s="33"/>
      <c r="L906" s="24"/>
      <c r="O906" s="8"/>
    </row>
    <row r="907">
      <c r="A907" s="9"/>
      <c r="J907" s="32"/>
      <c r="K907" s="33"/>
      <c r="L907" s="24"/>
      <c r="O907" s="8"/>
    </row>
    <row r="908">
      <c r="A908" s="9"/>
      <c r="J908" s="32"/>
      <c r="K908" s="33"/>
      <c r="L908" s="24"/>
      <c r="O908" s="8"/>
    </row>
    <row r="909">
      <c r="A909" s="9"/>
      <c r="J909" s="32"/>
      <c r="K909" s="33"/>
      <c r="L909" s="24"/>
      <c r="O909" s="8"/>
    </row>
    <row r="910">
      <c r="A910" s="9"/>
      <c r="J910" s="32"/>
      <c r="K910" s="33"/>
      <c r="L910" s="24"/>
      <c r="O910" s="8"/>
    </row>
    <row r="911">
      <c r="A911" s="9"/>
      <c r="J911" s="32"/>
      <c r="K911" s="33"/>
      <c r="L911" s="24"/>
      <c r="O911" s="8"/>
    </row>
    <row r="912">
      <c r="A912" s="9"/>
      <c r="J912" s="32"/>
      <c r="K912" s="33"/>
      <c r="L912" s="24"/>
      <c r="O912" s="8"/>
    </row>
    <row r="913">
      <c r="A913" s="9"/>
      <c r="J913" s="32"/>
      <c r="K913" s="33"/>
      <c r="L913" s="24"/>
      <c r="O913" s="8"/>
    </row>
    <row r="914">
      <c r="A914" s="9"/>
      <c r="J914" s="32"/>
      <c r="K914" s="33"/>
      <c r="L914" s="24"/>
      <c r="O914" s="8"/>
    </row>
    <row r="915">
      <c r="A915" s="9"/>
      <c r="J915" s="32"/>
      <c r="K915" s="33"/>
      <c r="L915" s="24"/>
      <c r="O915" s="8"/>
    </row>
    <row r="916">
      <c r="A916" s="9"/>
      <c r="J916" s="32"/>
      <c r="K916" s="33"/>
      <c r="L916" s="24"/>
      <c r="O916" s="8"/>
    </row>
    <row r="917">
      <c r="A917" s="9"/>
      <c r="J917" s="32"/>
      <c r="K917" s="33"/>
      <c r="L917" s="24"/>
      <c r="O917" s="8"/>
    </row>
    <row r="918">
      <c r="A918" s="9"/>
      <c r="J918" s="32"/>
      <c r="K918" s="33"/>
      <c r="L918" s="24"/>
      <c r="O918" s="8"/>
    </row>
    <row r="919">
      <c r="A919" s="9"/>
      <c r="J919" s="32"/>
      <c r="K919" s="33"/>
      <c r="L919" s="24"/>
      <c r="O919" s="8"/>
    </row>
    <row r="920">
      <c r="A920" s="9"/>
      <c r="J920" s="32"/>
      <c r="K920" s="33"/>
      <c r="L920" s="24"/>
      <c r="O920" s="8"/>
    </row>
    <row r="921">
      <c r="A921" s="9"/>
      <c r="J921" s="32"/>
      <c r="K921" s="33"/>
      <c r="L921" s="24"/>
      <c r="O921" s="8"/>
    </row>
    <row r="922">
      <c r="A922" s="9"/>
      <c r="J922" s="32"/>
      <c r="K922" s="33"/>
      <c r="L922" s="24"/>
      <c r="O922" s="8"/>
    </row>
    <row r="923">
      <c r="A923" s="9"/>
      <c r="J923" s="32"/>
      <c r="K923" s="33"/>
      <c r="L923" s="24"/>
      <c r="O923" s="8"/>
    </row>
    <row r="924">
      <c r="A924" s="9"/>
      <c r="J924" s="32"/>
      <c r="K924" s="33"/>
      <c r="L924" s="24"/>
      <c r="O924" s="8"/>
    </row>
    <row r="925">
      <c r="A925" s="9"/>
      <c r="J925" s="32"/>
      <c r="K925" s="33"/>
      <c r="L925" s="24"/>
      <c r="O925" s="8"/>
    </row>
    <row r="926">
      <c r="A926" s="9"/>
      <c r="J926" s="32"/>
      <c r="K926" s="33"/>
      <c r="L926" s="24"/>
      <c r="O926" s="8"/>
    </row>
    <row r="927">
      <c r="A927" s="9"/>
      <c r="J927" s="32"/>
      <c r="K927" s="33"/>
      <c r="L927" s="24"/>
      <c r="O927" s="8"/>
    </row>
    <row r="928">
      <c r="A928" s="9"/>
      <c r="J928" s="32"/>
      <c r="K928" s="33"/>
      <c r="L928" s="24"/>
      <c r="O928" s="8"/>
    </row>
    <row r="929">
      <c r="A929" s="9"/>
      <c r="J929" s="32"/>
      <c r="K929" s="33"/>
      <c r="L929" s="24"/>
      <c r="O929" s="8"/>
    </row>
    <row r="930">
      <c r="A930" s="9"/>
      <c r="J930" s="32"/>
      <c r="K930" s="33"/>
      <c r="L930" s="24"/>
      <c r="O930" s="8"/>
    </row>
    <row r="931">
      <c r="A931" s="9"/>
      <c r="J931" s="32"/>
      <c r="K931" s="33"/>
      <c r="L931" s="24"/>
      <c r="O931" s="8"/>
    </row>
    <row r="932">
      <c r="A932" s="9"/>
      <c r="J932" s="32"/>
      <c r="K932" s="33"/>
      <c r="L932" s="24"/>
      <c r="O932" s="8"/>
    </row>
    <row r="933">
      <c r="A933" s="9"/>
      <c r="J933" s="32"/>
      <c r="K933" s="33"/>
      <c r="L933" s="24"/>
      <c r="O933" s="8"/>
    </row>
    <row r="934">
      <c r="A934" s="9"/>
      <c r="J934" s="32"/>
      <c r="K934" s="33"/>
      <c r="L934" s="24"/>
      <c r="O934" s="8"/>
    </row>
    <row r="935">
      <c r="A935" s="9"/>
      <c r="J935" s="32"/>
      <c r="K935" s="33"/>
      <c r="L935" s="24"/>
      <c r="O935" s="8"/>
    </row>
    <row r="936">
      <c r="A936" s="9"/>
      <c r="J936" s="32"/>
      <c r="K936" s="33"/>
      <c r="L936" s="24"/>
      <c r="O936" s="8"/>
    </row>
    <row r="937">
      <c r="A937" s="9"/>
      <c r="J937" s="32"/>
      <c r="K937" s="33"/>
      <c r="L937" s="24"/>
      <c r="O937" s="8"/>
    </row>
    <row r="938">
      <c r="A938" s="9"/>
      <c r="J938" s="32"/>
      <c r="K938" s="33"/>
      <c r="L938" s="24"/>
      <c r="O938" s="8"/>
    </row>
    <row r="939">
      <c r="A939" s="9"/>
      <c r="J939" s="32"/>
      <c r="K939" s="33"/>
      <c r="L939" s="24"/>
      <c r="O939" s="8"/>
    </row>
    <row r="940">
      <c r="A940" s="9"/>
      <c r="J940" s="32"/>
      <c r="K940" s="33"/>
      <c r="L940" s="24"/>
      <c r="O940" s="8"/>
    </row>
    <row r="941">
      <c r="A941" s="9"/>
      <c r="J941" s="32"/>
      <c r="K941" s="33"/>
      <c r="L941" s="24"/>
      <c r="O941" s="8"/>
    </row>
    <row r="942">
      <c r="A942" s="9"/>
      <c r="J942" s="32"/>
      <c r="K942" s="33"/>
      <c r="L942" s="24"/>
      <c r="O942" s="8"/>
    </row>
    <row r="943">
      <c r="A943" s="9"/>
      <c r="J943" s="32"/>
      <c r="K943" s="33"/>
      <c r="L943" s="24"/>
      <c r="O943" s="8"/>
    </row>
    <row r="944">
      <c r="A944" s="9"/>
      <c r="J944" s="32"/>
      <c r="K944" s="33"/>
      <c r="L944" s="24"/>
      <c r="O944" s="8"/>
    </row>
    <row r="945">
      <c r="A945" s="9"/>
      <c r="J945" s="32"/>
      <c r="K945" s="33"/>
      <c r="L945" s="24"/>
      <c r="O945" s="8"/>
    </row>
    <row r="946">
      <c r="A946" s="9"/>
      <c r="J946" s="32"/>
      <c r="K946" s="33"/>
      <c r="L946" s="24"/>
      <c r="O946" s="8"/>
    </row>
    <row r="947">
      <c r="A947" s="9"/>
      <c r="J947" s="32"/>
      <c r="K947" s="33"/>
      <c r="L947" s="24"/>
      <c r="O947" s="8"/>
    </row>
    <row r="948">
      <c r="A948" s="9"/>
      <c r="J948" s="32"/>
      <c r="K948" s="33"/>
      <c r="L948" s="24"/>
      <c r="O948" s="8"/>
    </row>
    <row r="949">
      <c r="A949" s="9"/>
      <c r="J949" s="32"/>
      <c r="K949" s="33"/>
      <c r="L949" s="24"/>
      <c r="O949" s="8"/>
    </row>
    <row r="950">
      <c r="A950" s="9"/>
      <c r="J950" s="32"/>
      <c r="K950" s="33"/>
      <c r="L950" s="24"/>
      <c r="O950" s="8"/>
    </row>
    <row r="951">
      <c r="A951" s="9"/>
      <c r="J951" s="32"/>
      <c r="K951" s="33"/>
      <c r="L951" s="24"/>
      <c r="O951" s="8"/>
    </row>
    <row r="952">
      <c r="A952" s="9"/>
      <c r="J952" s="32"/>
      <c r="K952" s="33"/>
      <c r="L952" s="24"/>
      <c r="O952" s="8"/>
    </row>
    <row r="953">
      <c r="A953" s="9"/>
      <c r="J953" s="32"/>
      <c r="K953" s="33"/>
      <c r="L953" s="24"/>
      <c r="O953" s="8"/>
    </row>
    <row r="954">
      <c r="A954" s="9"/>
      <c r="J954" s="32"/>
      <c r="K954" s="33"/>
      <c r="L954" s="24"/>
      <c r="O954" s="8"/>
    </row>
    <row r="955">
      <c r="A955" s="9"/>
      <c r="J955" s="32"/>
      <c r="K955" s="33"/>
      <c r="L955" s="24"/>
      <c r="O955" s="8"/>
    </row>
    <row r="956">
      <c r="A956" s="9"/>
      <c r="J956" s="32"/>
      <c r="K956" s="33"/>
      <c r="L956" s="24"/>
      <c r="O956" s="8"/>
    </row>
    <row r="957">
      <c r="A957" s="9"/>
      <c r="J957" s="32"/>
      <c r="K957" s="33"/>
      <c r="L957" s="24"/>
      <c r="O957" s="8"/>
    </row>
    <row r="958">
      <c r="A958" s="9"/>
      <c r="J958" s="32"/>
      <c r="K958" s="33"/>
      <c r="L958" s="24"/>
      <c r="O958" s="8"/>
    </row>
    <row r="959">
      <c r="A959" s="9"/>
      <c r="J959" s="32"/>
      <c r="K959" s="33"/>
      <c r="L959" s="24"/>
      <c r="O959" s="8"/>
    </row>
    <row r="960">
      <c r="A960" s="9"/>
      <c r="J960" s="32"/>
      <c r="K960" s="33"/>
      <c r="L960" s="24"/>
      <c r="O960" s="8"/>
    </row>
    <row r="961">
      <c r="A961" s="9"/>
      <c r="J961" s="32"/>
      <c r="K961" s="33"/>
      <c r="L961" s="24"/>
      <c r="O961" s="8"/>
    </row>
    <row r="962">
      <c r="A962" s="9"/>
      <c r="J962" s="32"/>
      <c r="K962" s="33"/>
      <c r="L962" s="24"/>
      <c r="O962" s="8"/>
    </row>
    <row r="963">
      <c r="A963" s="9"/>
      <c r="J963" s="32"/>
      <c r="K963" s="33"/>
      <c r="L963" s="24"/>
      <c r="O963" s="8"/>
    </row>
    <row r="964">
      <c r="A964" s="9"/>
      <c r="J964" s="32"/>
      <c r="K964" s="33"/>
      <c r="L964" s="24"/>
      <c r="O964" s="8"/>
    </row>
    <row r="965">
      <c r="A965" s="9"/>
      <c r="J965" s="32"/>
      <c r="K965" s="33"/>
      <c r="L965" s="24"/>
      <c r="O965" s="8"/>
    </row>
    <row r="966">
      <c r="A966" s="9"/>
      <c r="J966" s="32"/>
      <c r="K966" s="33"/>
      <c r="L966" s="24"/>
      <c r="O966" s="8"/>
    </row>
    <row r="967">
      <c r="A967" s="9"/>
      <c r="J967" s="32"/>
      <c r="K967" s="33"/>
      <c r="L967" s="24"/>
      <c r="O967" s="8"/>
    </row>
    <row r="968">
      <c r="A968" s="9"/>
      <c r="J968" s="32"/>
      <c r="K968" s="33"/>
      <c r="L968" s="24"/>
      <c r="O968" s="8"/>
    </row>
    <row r="969">
      <c r="A969" s="9"/>
      <c r="J969" s="32"/>
      <c r="K969" s="33"/>
      <c r="L969" s="24"/>
      <c r="O969" s="8"/>
    </row>
    <row r="970">
      <c r="A970" s="9"/>
      <c r="J970" s="32"/>
      <c r="K970" s="33"/>
      <c r="L970" s="24"/>
      <c r="O970" s="8"/>
    </row>
    <row r="971">
      <c r="A971" s="9"/>
      <c r="J971" s="32"/>
      <c r="K971" s="33"/>
      <c r="L971" s="24"/>
      <c r="O971" s="8"/>
    </row>
    <row r="972">
      <c r="A972" s="9"/>
      <c r="J972" s="32"/>
      <c r="K972" s="33"/>
      <c r="L972" s="24"/>
      <c r="O972" s="8"/>
    </row>
    <row r="973">
      <c r="A973" s="9"/>
      <c r="J973" s="32"/>
      <c r="K973" s="33"/>
      <c r="L973" s="24"/>
      <c r="O973" s="8"/>
    </row>
    <row r="974">
      <c r="A974" s="9"/>
      <c r="J974" s="32"/>
      <c r="K974" s="33"/>
      <c r="L974" s="24"/>
      <c r="O974" s="8"/>
    </row>
    <row r="975">
      <c r="A975" s="9"/>
      <c r="J975" s="32"/>
      <c r="K975" s="33"/>
      <c r="L975" s="24"/>
      <c r="O975" s="8"/>
    </row>
    <row r="976">
      <c r="A976" s="9"/>
      <c r="J976" s="32"/>
      <c r="K976" s="33"/>
      <c r="L976" s="24"/>
      <c r="O976" s="8"/>
    </row>
    <row r="977">
      <c r="A977" s="9"/>
      <c r="J977" s="32"/>
      <c r="K977" s="33"/>
      <c r="L977" s="24"/>
      <c r="O977" s="8"/>
    </row>
    <row r="978">
      <c r="A978" s="9"/>
      <c r="J978" s="32"/>
      <c r="K978" s="33"/>
      <c r="L978" s="24"/>
      <c r="O978" s="8"/>
    </row>
    <row r="979">
      <c r="A979" s="9"/>
      <c r="J979" s="32"/>
      <c r="K979" s="33"/>
      <c r="L979" s="24"/>
      <c r="O979" s="8"/>
    </row>
    <row r="980">
      <c r="A980" s="9"/>
      <c r="J980" s="32"/>
      <c r="K980" s="33"/>
      <c r="L980" s="24"/>
      <c r="O980" s="8"/>
    </row>
    <row r="981">
      <c r="A981" s="9"/>
      <c r="J981" s="32"/>
      <c r="K981" s="33"/>
      <c r="L981" s="24"/>
      <c r="O981" s="8"/>
    </row>
    <row r="982">
      <c r="A982" s="9"/>
      <c r="J982" s="32"/>
      <c r="K982" s="33"/>
      <c r="L982" s="24"/>
      <c r="O982" s="8"/>
    </row>
    <row r="983">
      <c r="A983" s="9"/>
      <c r="J983" s="32"/>
      <c r="K983" s="33"/>
      <c r="L983" s="24"/>
      <c r="O983" s="8"/>
    </row>
    <row r="984">
      <c r="A984" s="9"/>
      <c r="J984" s="32"/>
      <c r="K984" s="33"/>
      <c r="L984" s="24"/>
      <c r="O984" s="8"/>
    </row>
    <row r="985">
      <c r="A985" s="9"/>
      <c r="J985" s="32"/>
      <c r="K985" s="33"/>
      <c r="L985" s="24"/>
      <c r="O985" s="8"/>
    </row>
    <row r="986">
      <c r="A986" s="9"/>
      <c r="J986" s="32"/>
      <c r="K986" s="33"/>
      <c r="L986" s="24"/>
      <c r="O986" s="8"/>
    </row>
    <row r="987">
      <c r="A987" s="9"/>
      <c r="J987" s="32"/>
      <c r="K987" s="33"/>
      <c r="L987" s="24"/>
      <c r="O987" s="8"/>
    </row>
    <row r="988">
      <c r="A988" s="9"/>
      <c r="J988" s="32"/>
      <c r="K988" s="33"/>
      <c r="L988" s="24"/>
      <c r="O988" s="8"/>
    </row>
    <row r="989">
      <c r="A989" s="9"/>
      <c r="J989" s="32"/>
      <c r="K989" s="33"/>
      <c r="L989" s="24"/>
      <c r="O989" s="8"/>
    </row>
    <row r="990">
      <c r="A990" s="9"/>
      <c r="J990" s="32"/>
      <c r="K990" s="33"/>
      <c r="L990" s="24"/>
      <c r="O990" s="8"/>
    </row>
    <row r="991">
      <c r="A991" s="9"/>
      <c r="J991" s="32"/>
      <c r="K991" s="33"/>
      <c r="L991" s="24"/>
      <c r="O991" s="8"/>
    </row>
    <row r="992">
      <c r="A992" s="9"/>
      <c r="J992" s="32"/>
      <c r="K992" s="33"/>
      <c r="L992" s="24"/>
      <c r="O992" s="8"/>
    </row>
    <row r="993">
      <c r="A993" s="9"/>
      <c r="J993" s="32"/>
      <c r="K993" s="33"/>
      <c r="L993" s="24"/>
      <c r="O993" s="8"/>
    </row>
    <row r="994">
      <c r="A994" s="9"/>
      <c r="J994" s="32"/>
      <c r="K994" s="33"/>
      <c r="L994" s="24"/>
      <c r="O994" s="8"/>
    </row>
    <row r="995">
      <c r="A995" s="9"/>
      <c r="J995" s="32"/>
      <c r="K995" s="33"/>
      <c r="L995" s="24"/>
      <c r="O995" s="8"/>
    </row>
    <row r="996">
      <c r="A996" s="9"/>
      <c r="J996" s="32"/>
      <c r="K996" s="33"/>
      <c r="L996" s="24"/>
      <c r="O996" s="8"/>
    </row>
    <row r="997">
      <c r="A997" s="9"/>
      <c r="J997" s="32"/>
      <c r="K997" s="33"/>
      <c r="L997" s="24"/>
      <c r="O997" s="8"/>
    </row>
    <row r="998">
      <c r="A998" s="9"/>
      <c r="J998" s="32"/>
      <c r="K998" s="33"/>
      <c r="L998" s="24"/>
      <c r="O998" s="8"/>
    </row>
    <row r="999">
      <c r="A999" s="9"/>
      <c r="J999" s="32"/>
      <c r="K999" s="33"/>
      <c r="L999" s="24"/>
      <c r="O999" s="8"/>
    </row>
    <row r="1000">
      <c r="A1000" s="9"/>
      <c r="J1000" s="32"/>
      <c r="K1000" s="33"/>
      <c r="L1000" s="24"/>
      <c r="O1000" s="8"/>
    </row>
  </sheetData>
  <autoFilter ref="$A$1:$AB$69">
    <sortState ref="A1:AB69">
      <sortCondition ref="A1:A69"/>
    </sortState>
  </autoFilter>
  <dataValidations>
    <dataValidation type="list" allowBlank="1" showErrorMessage="1" sqref="L1:L1000">
      <formula1>"Pas Encore,telecharge,Importe,Problème"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14" max="14" width="19.75"/>
    <col customWidth="1" min="16" max="16" width="29.38"/>
    <col customWidth="1" min="17" max="19" width="24.38"/>
  </cols>
  <sheetData>
    <row r="1">
      <c r="A1" s="34" t="s">
        <v>152</v>
      </c>
      <c r="B1" s="35" t="s">
        <v>153</v>
      </c>
      <c r="C1" s="35" t="s">
        <v>154</v>
      </c>
      <c r="D1" s="36" t="s">
        <v>155</v>
      </c>
      <c r="E1" s="35" t="s">
        <v>156</v>
      </c>
      <c r="F1" s="35" t="s">
        <v>157</v>
      </c>
      <c r="G1" s="35" t="s">
        <v>158</v>
      </c>
      <c r="H1" s="35" t="s">
        <v>159</v>
      </c>
      <c r="I1" s="35" t="s">
        <v>160</v>
      </c>
      <c r="J1" s="35" t="s">
        <v>161</v>
      </c>
      <c r="K1" s="35" t="s">
        <v>162</v>
      </c>
      <c r="L1" s="35"/>
      <c r="M1" s="35"/>
      <c r="N1" s="35" t="s">
        <v>163</v>
      </c>
      <c r="O1" s="35" t="s">
        <v>164</v>
      </c>
      <c r="P1" s="35" t="s">
        <v>165</v>
      </c>
      <c r="R1" s="6" t="s">
        <v>164</v>
      </c>
      <c r="S1" s="37" t="s">
        <v>155</v>
      </c>
      <c r="T1" s="38" t="s">
        <v>164</v>
      </c>
      <c r="U1" s="39"/>
      <c r="V1" s="39"/>
      <c r="W1" s="39"/>
      <c r="X1" s="39"/>
      <c r="Y1" s="39"/>
      <c r="Z1" s="39"/>
      <c r="AA1" s="39"/>
      <c r="AB1" s="39"/>
      <c r="AC1" s="39"/>
    </row>
    <row r="2">
      <c r="A2" s="9" t="s">
        <v>166</v>
      </c>
      <c r="B2" s="16" t="s">
        <v>167</v>
      </c>
      <c r="C2" s="16">
        <v>6.538272627E9</v>
      </c>
      <c r="D2" s="16" t="s">
        <v>168</v>
      </c>
      <c r="E2" s="40" t="s">
        <v>169</v>
      </c>
      <c r="F2" s="16" t="s">
        <v>170</v>
      </c>
      <c r="G2" s="16" t="s">
        <v>171</v>
      </c>
      <c r="H2" s="16" t="s">
        <v>172</v>
      </c>
      <c r="I2" s="16">
        <v>3033.9</v>
      </c>
      <c r="J2" s="16">
        <v>-507.81</v>
      </c>
      <c r="K2" s="16">
        <v>-41.82</v>
      </c>
      <c r="L2" s="16">
        <v>-46.8</v>
      </c>
      <c r="M2" s="16"/>
      <c r="N2" s="16">
        <v>2437.47</v>
      </c>
      <c r="O2" s="41" t="s">
        <v>173</v>
      </c>
      <c r="P2" s="16" t="s">
        <v>174</v>
      </c>
      <c r="R2" s="42"/>
    </row>
    <row r="3">
      <c r="A3" s="9" t="s">
        <v>175</v>
      </c>
      <c r="B3" s="16" t="s">
        <v>167</v>
      </c>
      <c r="C3" s="16">
        <v>6.6526424E9</v>
      </c>
      <c r="D3" s="16" t="s">
        <v>176</v>
      </c>
      <c r="E3" s="40" t="s">
        <v>177</v>
      </c>
      <c r="F3" s="16" t="s">
        <v>170</v>
      </c>
      <c r="G3" s="16" t="s">
        <v>171</v>
      </c>
      <c r="H3" s="16" t="s">
        <v>172</v>
      </c>
      <c r="I3" s="16">
        <v>2104.58</v>
      </c>
      <c r="J3" s="16">
        <v>-352.47</v>
      </c>
      <c r="K3" s="16">
        <v>-29.03</v>
      </c>
      <c r="L3" s="16">
        <v>-31.2</v>
      </c>
      <c r="M3" s="16"/>
      <c r="N3" s="16">
        <v>1691.88</v>
      </c>
      <c r="O3" s="41" t="s">
        <v>173</v>
      </c>
      <c r="P3" s="16" t="s">
        <v>178</v>
      </c>
    </row>
    <row r="4">
      <c r="A4" s="9" t="s">
        <v>175</v>
      </c>
      <c r="B4" s="16" t="s">
        <v>167</v>
      </c>
      <c r="C4" s="16">
        <v>6.170791419E9</v>
      </c>
      <c r="D4" s="16" t="s">
        <v>179</v>
      </c>
      <c r="E4" s="40" t="s">
        <v>180</v>
      </c>
      <c r="F4" s="16" t="s">
        <v>170</v>
      </c>
      <c r="G4" s="16" t="s">
        <v>171</v>
      </c>
      <c r="H4" s="16" t="s">
        <v>172</v>
      </c>
      <c r="I4" s="16">
        <v>1014.45</v>
      </c>
      <c r="J4" s="16">
        <v>-167.15</v>
      </c>
      <c r="K4" s="16">
        <v>-13.77</v>
      </c>
      <c r="L4" s="16">
        <v>-31.2</v>
      </c>
      <c r="M4" s="16"/>
      <c r="N4" s="16">
        <v>802.33</v>
      </c>
      <c r="O4" s="16" t="s">
        <v>173</v>
      </c>
      <c r="P4" s="16" t="s">
        <v>178</v>
      </c>
    </row>
    <row r="5">
      <c r="A5" s="9" t="s">
        <v>175</v>
      </c>
      <c r="B5" s="16" t="s">
        <v>167</v>
      </c>
      <c r="C5" s="16">
        <v>6.079699594E9</v>
      </c>
      <c r="D5" s="16" t="s">
        <v>181</v>
      </c>
      <c r="E5" s="16" t="s">
        <v>182</v>
      </c>
      <c r="F5" s="16" t="s">
        <v>170</v>
      </c>
      <c r="G5" s="16" t="s">
        <v>171</v>
      </c>
      <c r="H5" s="16" t="s">
        <v>172</v>
      </c>
      <c r="I5" s="16">
        <v>20.8</v>
      </c>
      <c r="J5" s="16">
        <v>-8.78</v>
      </c>
      <c r="K5" s="16">
        <v>-0.72</v>
      </c>
      <c r="L5" s="16">
        <v>-20.8</v>
      </c>
      <c r="M5" s="16"/>
      <c r="N5" s="16">
        <v>-9.5</v>
      </c>
      <c r="O5" s="16" t="s">
        <v>173</v>
      </c>
      <c r="P5" s="16" t="s">
        <v>178</v>
      </c>
    </row>
    <row r="6">
      <c r="A6" s="9" t="s">
        <v>183</v>
      </c>
      <c r="B6" s="16" t="s">
        <v>167</v>
      </c>
      <c r="C6" s="16">
        <v>6.163893119E9</v>
      </c>
      <c r="D6" s="16" t="s">
        <v>184</v>
      </c>
      <c r="E6" s="40" t="s">
        <v>185</v>
      </c>
      <c r="F6" s="16" t="s">
        <v>170</v>
      </c>
      <c r="G6" s="16" t="s">
        <v>171</v>
      </c>
      <c r="H6" s="16" t="s">
        <v>172</v>
      </c>
      <c r="I6" s="16">
        <v>1831.2</v>
      </c>
      <c r="J6" s="16">
        <v>-306.0</v>
      </c>
      <c r="K6" s="16">
        <v>-25.2</v>
      </c>
      <c r="L6" s="16">
        <v>-31.2</v>
      </c>
      <c r="M6" s="16"/>
      <c r="N6" s="16">
        <v>1468.8</v>
      </c>
      <c r="O6" s="16" t="s">
        <v>173</v>
      </c>
      <c r="P6" s="16" t="s">
        <v>186</v>
      </c>
    </row>
    <row r="7">
      <c r="A7" s="9" t="s">
        <v>187</v>
      </c>
      <c r="B7" s="16" t="s">
        <v>167</v>
      </c>
      <c r="C7" s="16">
        <v>6.12441969E9</v>
      </c>
      <c r="D7" s="16" t="s">
        <v>188</v>
      </c>
      <c r="E7" s="40" t="s">
        <v>189</v>
      </c>
      <c r="F7" s="16" t="s">
        <v>170</v>
      </c>
      <c r="G7" s="16" t="s">
        <v>171</v>
      </c>
      <c r="H7" s="16" t="s">
        <v>190</v>
      </c>
      <c r="I7" s="16">
        <v>903.6</v>
      </c>
      <c r="N7" s="16">
        <v>903.6</v>
      </c>
      <c r="O7" s="16" t="s">
        <v>173</v>
      </c>
      <c r="P7" s="16" t="s">
        <v>191</v>
      </c>
    </row>
    <row r="8">
      <c r="A8" s="9" t="s">
        <v>187</v>
      </c>
      <c r="B8" s="16" t="s">
        <v>167</v>
      </c>
      <c r="C8" s="16">
        <v>6.313746488E9</v>
      </c>
      <c r="D8" s="16" t="s">
        <v>192</v>
      </c>
      <c r="E8" s="16" t="s">
        <v>193</v>
      </c>
      <c r="F8" s="16" t="s">
        <v>170</v>
      </c>
      <c r="G8" s="16" t="s">
        <v>171</v>
      </c>
      <c r="H8" s="16" t="s">
        <v>190</v>
      </c>
      <c r="I8" s="16">
        <v>-15.6</v>
      </c>
      <c r="N8" s="16">
        <v>-15.6</v>
      </c>
      <c r="O8" s="16" t="s">
        <v>173</v>
      </c>
      <c r="P8" s="16" t="s">
        <v>191</v>
      </c>
    </row>
    <row r="9">
      <c r="A9" s="9" t="s">
        <v>194</v>
      </c>
      <c r="B9" s="16" t="s">
        <v>167</v>
      </c>
      <c r="C9" s="16">
        <v>6.819851631E9</v>
      </c>
      <c r="D9" s="16" t="s">
        <v>195</v>
      </c>
      <c r="E9" s="40" t="s">
        <v>196</v>
      </c>
      <c r="F9" s="16" t="s">
        <v>170</v>
      </c>
      <c r="G9" s="16" t="s">
        <v>171</v>
      </c>
      <c r="H9" s="16" t="s">
        <v>172</v>
      </c>
      <c r="I9" s="16">
        <v>769.3</v>
      </c>
      <c r="J9" s="16">
        <v>-127.25</v>
      </c>
      <c r="K9" s="16">
        <v>-10.48</v>
      </c>
      <c r="L9" s="16">
        <v>-20.8</v>
      </c>
      <c r="M9" s="16"/>
      <c r="N9" s="16">
        <v>610.77</v>
      </c>
      <c r="O9" s="16" t="s">
        <v>173</v>
      </c>
      <c r="P9" s="16" t="s">
        <v>197</v>
      </c>
    </row>
    <row r="10">
      <c r="A10" s="9" t="s">
        <v>194</v>
      </c>
      <c r="B10" s="16" t="s">
        <v>167</v>
      </c>
      <c r="C10" s="16">
        <v>5.160295313E9</v>
      </c>
      <c r="D10" s="16" t="s">
        <v>198</v>
      </c>
      <c r="E10" s="16" t="s">
        <v>199</v>
      </c>
      <c r="F10" s="16" t="s">
        <v>170</v>
      </c>
      <c r="G10" s="16" t="s">
        <v>171</v>
      </c>
      <c r="H10" s="16" t="s">
        <v>172</v>
      </c>
      <c r="I10" s="16">
        <v>7.8</v>
      </c>
      <c r="J10" s="16">
        <v>-2.57</v>
      </c>
      <c r="K10" s="16">
        <v>-0.21</v>
      </c>
      <c r="L10" s="16">
        <v>-7.8</v>
      </c>
      <c r="M10" s="16"/>
      <c r="N10" s="16">
        <v>-2.78</v>
      </c>
      <c r="O10" s="16" t="s">
        <v>173</v>
      </c>
      <c r="P10" s="16" t="s">
        <v>197</v>
      </c>
    </row>
    <row r="11">
      <c r="A11" s="9" t="s">
        <v>200</v>
      </c>
      <c r="B11" s="16" t="s">
        <v>167</v>
      </c>
      <c r="C11" s="16">
        <v>5.566189426E9</v>
      </c>
      <c r="D11" s="16" t="s">
        <v>179</v>
      </c>
      <c r="E11" s="40" t="s">
        <v>201</v>
      </c>
      <c r="F11" s="16" t="s">
        <v>170</v>
      </c>
      <c r="G11" s="16" t="s">
        <v>171</v>
      </c>
      <c r="H11" s="16" t="s">
        <v>172</v>
      </c>
      <c r="I11" s="16">
        <v>613.4</v>
      </c>
      <c r="J11" s="16">
        <v>-102.51</v>
      </c>
      <c r="K11" s="16">
        <v>-8.44</v>
      </c>
      <c r="L11" s="16">
        <v>-10.4</v>
      </c>
      <c r="M11" s="16"/>
      <c r="N11" s="16">
        <v>492.05</v>
      </c>
      <c r="O11" s="16" t="s">
        <v>173</v>
      </c>
      <c r="P11" s="16" t="s">
        <v>202</v>
      </c>
    </row>
    <row r="12">
      <c r="A12" s="9" t="s">
        <v>203</v>
      </c>
      <c r="B12" s="16" t="s">
        <v>167</v>
      </c>
      <c r="C12" s="16">
        <v>5.942600372E9</v>
      </c>
      <c r="D12" s="16" t="s">
        <v>176</v>
      </c>
      <c r="E12" s="40" t="s">
        <v>204</v>
      </c>
      <c r="F12" s="16" t="s">
        <v>170</v>
      </c>
      <c r="G12" s="16" t="s">
        <v>171</v>
      </c>
      <c r="H12" s="16" t="s">
        <v>172</v>
      </c>
      <c r="I12" s="16">
        <v>921.9</v>
      </c>
      <c r="J12" s="16">
        <v>-154.07</v>
      </c>
      <c r="K12" s="16">
        <v>-12.69</v>
      </c>
      <c r="L12" s="16">
        <v>-15.6</v>
      </c>
      <c r="M12" s="16"/>
      <c r="N12" s="16">
        <v>739.54</v>
      </c>
      <c r="O12" s="16" t="s">
        <v>173</v>
      </c>
      <c r="P12" s="16" t="s">
        <v>205</v>
      </c>
    </row>
    <row r="13">
      <c r="A13" s="9" t="s">
        <v>206</v>
      </c>
      <c r="B13" s="16" t="s">
        <v>167</v>
      </c>
      <c r="C13" s="16">
        <v>5.903288584E9</v>
      </c>
      <c r="D13" s="16" t="s">
        <v>188</v>
      </c>
      <c r="E13" s="40" t="s">
        <v>207</v>
      </c>
      <c r="F13" s="16" t="s">
        <v>170</v>
      </c>
      <c r="G13" s="16" t="s">
        <v>171</v>
      </c>
      <c r="H13" s="16" t="s">
        <v>190</v>
      </c>
      <c r="I13" s="16">
        <v>1310.4</v>
      </c>
      <c r="N13" s="16">
        <v>1310.4</v>
      </c>
      <c r="O13" s="16" t="s">
        <v>173</v>
      </c>
      <c r="P13" s="16" t="s">
        <v>208</v>
      </c>
    </row>
    <row r="14">
      <c r="A14" s="9" t="s">
        <v>209</v>
      </c>
      <c r="B14" s="16" t="s">
        <v>167</v>
      </c>
      <c r="C14" s="16">
        <v>5.372777557E9</v>
      </c>
      <c r="D14" s="16" t="s">
        <v>179</v>
      </c>
      <c r="E14" s="40" t="s">
        <v>210</v>
      </c>
      <c r="F14" s="16" t="s">
        <v>170</v>
      </c>
      <c r="G14" s="16" t="s">
        <v>171</v>
      </c>
      <c r="H14" s="16" t="s">
        <v>172</v>
      </c>
      <c r="I14" s="16">
        <v>502.43</v>
      </c>
      <c r="J14" s="16">
        <v>-83.65</v>
      </c>
      <c r="K14" s="16">
        <v>-6.89</v>
      </c>
      <c r="L14" s="16">
        <v>-10.4</v>
      </c>
      <c r="M14" s="16"/>
      <c r="N14" s="16">
        <v>401.49</v>
      </c>
      <c r="O14" s="16" t="s">
        <v>173</v>
      </c>
      <c r="P14" s="16" t="s">
        <v>211</v>
      </c>
    </row>
    <row r="15">
      <c r="A15" s="9" t="s">
        <v>209</v>
      </c>
      <c r="B15" s="16" t="s">
        <v>167</v>
      </c>
      <c r="C15" s="16">
        <v>5.771744742E9</v>
      </c>
      <c r="D15" s="16" t="s">
        <v>212</v>
      </c>
      <c r="E15" s="16" t="s">
        <v>213</v>
      </c>
      <c r="F15" s="16" t="s">
        <v>170</v>
      </c>
      <c r="G15" s="16" t="s">
        <v>171</v>
      </c>
      <c r="H15" s="16" t="s">
        <v>172</v>
      </c>
      <c r="I15" s="16">
        <v>52.0</v>
      </c>
      <c r="J15" s="16">
        <v>-4.4</v>
      </c>
      <c r="K15" s="16">
        <v>-0.36</v>
      </c>
      <c r="L15" s="16">
        <v>-52.0</v>
      </c>
      <c r="M15" s="16"/>
      <c r="N15" s="16">
        <v>-4.76</v>
      </c>
      <c r="O15" s="16" t="s">
        <v>173</v>
      </c>
      <c r="P15" s="16" t="s">
        <v>211</v>
      </c>
    </row>
    <row r="16">
      <c r="A16" s="9" t="s">
        <v>214</v>
      </c>
      <c r="B16" s="16" t="s">
        <v>167</v>
      </c>
      <c r="C16" s="16">
        <v>5.962371167E9</v>
      </c>
      <c r="D16" s="16" t="s">
        <v>215</v>
      </c>
      <c r="E16" s="40" t="s">
        <v>216</v>
      </c>
      <c r="F16" s="16" t="s">
        <v>170</v>
      </c>
      <c r="G16" s="16" t="s">
        <v>171</v>
      </c>
      <c r="H16" s="16" t="s">
        <v>172</v>
      </c>
      <c r="I16" s="16">
        <v>656.7</v>
      </c>
      <c r="J16" s="16">
        <v>-106.34</v>
      </c>
      <c r="K16" s="16">
        <v>-8.76</v>
      </c>
      <c r="L16" s="16">
        <v>-31.2</v>
      </c>
      <c r="M16" s="16"/>
      <c r="N16" s="16">
        <v>510.4</v>
      </c>
      <c r="O16" s="16" t="s">
        <v>173</v>
      </c>
      <c r="P16" s="16" t="s">
        <v>217</v>
      </c>
    </row>
    <row r="17">
      <c r="A17" s="9" t="s">
        <v>214</v>
      </c>
      <c r="B17" s="16" t="s">
        <v>167</v>
      </c>
      <c r="C17" s="16">
        <v>6.065035867E9</v>
      </c>
      <c r="D17" s="16" t="s">
        <v>218</v>
      </c>
      <c r="E17" s="16" t="s">
        <v>219</v>
      </c>
      <c r="F17" s="16" t="s">
        <v>170</v>
      </c>
      <c r="G17" s="16" t="s">
        <v>171</v>
      </c>
      <c r="H17" s="16" t="s">
        <v>172</v>
      </c>
      <c r="I17" s="16">
        <v>31.2</v>
      </c>
      <c r="J17" s="16">
        <v>-3.48</v>
      </c>
      <c r="K17" s="16">
        <v>-0.29</v>
      </c>
      <c r="L17" s="16">
        <v>-31.2</v>
      </c>
      <c r="M17" s="16"/>
      <c r="N17" s="16">
        <v>-3.77</v>
      </c>
      <c r="O17" s="16" t="s">
        <v>173</v>
      </c>
      <c r="P17" s="16" t="s">
        <v>217</v>
      </c>
    </row>
    <row r="18">
      <c r="A18" s="9" t="s">
        <v>220</v>
      </c>
      <c r="B18" s="16" t="s">
        <v>167</v>
      </c>
      <c r="C18" s="16">
        <v>6.219896933E9</v>
      </c>
      <c r="D18" s="16" t="s">
        <v>215</v>
      </c>
      <c r="E18" s="40" t="s">
        <v>221</v>
      </c>
      <c r="F18" s="16" t="s">
        <v>170</v>
      </c>
      <c r="G18" s="16" t="s">
        <v>171</v>
      </c>
      <c r="H18" s="16" t="s">
        <v>172</v>
      </c>
      <c r="I18" s="16">
        <v>527.24</v>
      </c>
      <c r="J18" s="16">
        <v>-86.09</v>
      </c>
      <c r="K18" s="16">
        <v>-7.09</v>
      </c>
      <c r="L18" s="16">
        <v>-20.8</v>
      </c>
      <c r="M18" s="16"/>
      <c r="N18" s="16">
        <v>413.26</v>
      </c>
      <c r="O18" s="16" t="s">
        <v>173</v>
      </c>
      <c r="P18" s="16" t="s">
        <v>222</v>
      </c>
    </row>
    <row r="19">
      <c r="A19" s="9" t="s">
        <v>220</v>
      </c>
      <c r="B19" s="16" t="s">
        <v>167</v>
      </c>
      <c r="C19" s="16">
        <v>5.578236069E9</v>
      </c>
      <c r="D19" s="16" t="s">
        <v>223</v>
      </c>
      <c r="E19" s="16" t="s">
        <v>224</v>
      </c>
      <c r="F19" s="16" t="s">
        <v>170</v>
      </c>
      <c r="G19" s="16" t="s">
        <v>171</v>
      </c>
      <c r="H19" s="16" t="s">
        <v>172</v>
      </c>
      <c r="I19" s="16">
        <v>20.8</v>
      </c>
      <c r="J19" s="16">
        <v>-0.87</v>
      </c>
      <c r="K19" s="16">
        <v>-0.07</v>
      </c>
      <c r="L19" s="16">
        <v>-20.8</v>
      </c>
      <c r="M19" s="16"/>
      <c r="N19" s="16">
        <v>-0.94</v>
      </c>
      <c r="O19" s="16" t="s">
        <v>173</v>
      </c>
      <c r="P19" s="16" t="s">
        <v>222</v>
      </c>
    </row>
    <row r="20">
      <c r="A20" s="9" t="s">
        <v>225</v>
      </c>
      <c r="B20" s="16" t="s">
        <v>167</v>
      </c>
      <c r="C20" s="16">
        <v>5.183250689E9</v>
      </c>
      <c r="D20" s="16" t="s">
        <v>188</v>
      </c>
      <c r="E20" s="40" t="s">
        <v>226</v>
      </c>
      <c r="F20" s="16" t="s">
        <v>170</v>
      </c>
      <c r="G20" s="16" t="s">
        <v>171</v>
      </c>
      <c r="H20" s="16" t="s">
        <v>172</v>
      </c>
      <c r="I20" s="16">
        <v>1461.8</v>
      </c>
      <c r="J20" s="16">
        <v>-246.74</v>
      </c>
      <c r="K20" s="16">
        <v>-20.32</v>
      </c>
      <c r="L20" s="16">
        <v>-10.4</v>
      </c>
      <c r="M20" s="16"/>
      <c r="N20" s="16">
        <v>1184.34</v>
      </c>
      <c r="O20" s="16" t="s">
        <v>173</v>
      </c>
      <c r="P20" s="16" t="s">
        <v>227</v>
      </c>
    </row>
    <row r="21">
      <c r="A21" s="9" t="s">
        <v>225</v>
      </c>
      <c r="B21" s="16" t="s">
        <v>167</v>
      </c>
      <c r="C21" s="16">
        <v>6.416305735E9</v>
      </c>
      <c r="D21" s="16" t="s">
        <v>228</v>
      </c>
      <c r="E21" s="16" t="s">
        <v>229</v>
      </c>
      <c r="F21" s="16" t="s">
        <v>170</v>
      </c>
      <c r="G21" s="16" t="s">
        <v>171</v>
      </c>
      <c r="H21" s="16" t="s">
        <v>172</v>
      </c>
      <c r="I21" s="16">
        <v>10.4</v>
      </c>
      <c r="J21" s="16">
        <v>-2.61</v>
      </c>
      <c r="K21" s="16">
        <v>-0.21</v>
      </c>
      <c r="L21" s="16">
        <v>-10.4</v>
      </c>
      <c r="M21" s="16"/>
      <c r="N21" s="16">
        <v>-2.82</v>
      </c>
      <c r="O21" s="16" t="s">
        <v>173</v>
      </c>
      <c r="P21" s="16" t="s">
        <v>227</v>
      </c>
    </row>
    <row r="22">
      <c r="A22" s="9" t="s">
        <v>230</v>
      </c>
      <c r="B22" s="16" t="s">
        <v>167</v>
      </c>
      <c r="C22" s="16">
        <v>6.221117435E9</v>
      </c>
      <c r="D22" s="16" t="s">
        <v>184</v>
      </c>
      <c r="E22" s="40" t="s">
        <v>231</v>
      </c>
      <c r="F22" s="16" t="s">
        <v>170</v>
      </c>
      <c r="G22" s="16" t="s">
        <v>171</v>
      </c>
      <c r="H22" s="16" t="s">
        <v>172</v>
      </c>
      <c r="I22" s="16">
        <v>1325.8</v>
      </c>
      <c r="J22" s="16">
        <v>-220.08</v>
      </c>
      <c r="K22" s="16">
        <v>-18.12</v>
      </c>
      <c r="L22" s="16">
        <v>-31.2</v>
      </c>
      <c r="M22" s="16"/>
      <c r="N22" s="16">
        <v>1056.4</v>
      </c>
      <c r="O22" s="16" t="s">
        <v>173</v>
      </c>
      <c r="P22" s="16" t="s">
        <v>232</v>
      </c>
    </row>
    <row r="23" ht="15.0" customHeight="1">
      <c r="A23" s="9" t="s">
        <v>233</v>
      </c>
      <c r="B23" s="16" t="s">
        <v>167</v>
      </c>
      <c r="C23" s="16">
        <v>5.950106074E9</v>
      </c>
      <c r="D23" s="16" t="s">
        <v>184</v>
      </c>
      <c r="E23" s="40" t="s">
        <v>234</v>
      </c>
      <c r="F23" s="16" t="s">
        <v>170</v>
      </c>
      <c r="G23" s="16" t="s">
        <v>171</v>
      </c>
      <c r="H23" s="16" t="s">
        <v>172</v>
      </c>
      <c r="I23" s="16">
        <v>2151.0</v>
      </c>
      <c r="J23" s="16">
        <v>-353.74</v>
      </c>
      <c r="K23" s="16">
        <v>-29.13</v>
      </c>
      <c r="L23" s="16">
        <v>-70.2</v>
      </c>
      <c r="M23" s="16"/>
      <c r="N23" s="16">
        <v>1697.93</v>
      </c>
      <c r="O23" s="16" t="s">
        <v>173</v>
      </c>
      <c r="P23" s="16" t="s">
        <v>235</v>
      </c>
    </row>
    <row r="24">
      <c r="A24" s="9" t="s">
        <v>236</v>
      </c>
      <c r="B24" s="16" t="s">
        <v>167</v>
      </c>
      <c r="C24" s="16">
        <v>6.473047029E9</v>
      </c>
      <c r="D24" s="16" t="s">
        <v>218</v>
      </c>
      <c r="E24" s="40" t="s">
        <v>237</v>
      </c>
      <c r="F24" s="16" t="s">
        <v>170</v>
      </c>
      <c r="G24" s="16" t="s">
        <v>171</v>
      </c>
      <c r="H24" s="16" t="s">
        <v>172</v>
      </c>
      <c r="I24" s="16">
        <v>5247.65</v>
      </c>
      <c r="J24" s="16">
        <v>-864.25</v>
      </c>
      <c r="K24" s="16">
        <v>-71.17</v>
      </c>
      <c r="L24" s="16">
        <v>-163.8</v>
      </c>
      <c r="M24" s="16"/>
      <c r="N24" s="16">
        <v>4148.43</v>
      </c>
      <c r="O24" s="16" t="s">
        <v>173</v>
      </c>
      <c r="P24" s="16" t="s">
        <v>238</v>
      </c>
    </row>
    <row r="25">
      <c r="A25" s="9" t="s">
        <v>239</v>
      </c>
      <c r="B25" s="16" t="s">
        <v>167</v>
      </c>
      <c r="C25" s="16">
        <v>6.966411215E9</v>
      </c>
      <c r="D25" s="16" t="s">
        <v>184</v>
      </c>
      <c r="E25" s="40" t="s">
        <v>240</v>
      </c>
      <c r="F25" s="16" t="s">
        <v>170</v>
      </c>
      <c r="G25" s="16" t="s">
        <v>171</v>
      </c>
      <c r="H25" s="16" t="s">
        <v>172</v>
      </c>
      <c r="I25" s="16">
        <v>855.01</v>
      </c>
      <c r="J25" s="16">
        <v>-141.37</v>
      </c>
      <c r="K25" s="16">
        <v>-11.64</v>
      </c>
      <c r="L25" s="16">
        <v>-23.4</v>
      </c>
      <c r="M25" s="16"/>
      <c r="N25" s="16">
        <v>678.6</v>
      </c>
      <c r="O25" s="16" t="s">
        <v>173</v>
      </c>
      <c r="P25" s="16" t="s">
        <v>241</v>
      </c>
    </row>
    <row r="26">
      <c r="A26" s="9" t="s">
        <v>239</v>
      </c>
      <c r="B26" s="16" t="s">
        <v>167</v>
      </c>
      <c r="C26" s="16">
        <v>6.654134035E9</v>
      </c>
      <c r="D26" s="16" t="s">
        <v>195</v>
      </c>
      <c r="E26" s="40" t="s">
        <v>242</v>
      </c>
      <c r="F26" s="16" t="s">
        <v>170</v>
      </c>
      <c r="G26" s="16" t="s">
        <v>171</v>
      </c>
      <c r="H26" s="16" t="s">
        <v>172</v>
      </c>
      <c r="I26" s="16">
        <v>7.8</v>
      </c>
      <c r="J26" s="16">
        <v>0.0</v>
      </c>
      <c r="K26" s="16">
        <v>0.33</v>
      </c>
      <c r="L26" s="16">
        <v>-31.2</v>
      </c>
      <c r="M26" s="16"/>
      <c r="N26" s="16">
        <v>-23.07</v>
      </c>
      <c r="O26" s="16" t="s">
        <v>173</v>
      </c>
      <c r="P26" s="16" t="s">
        <v>241</v>
      </c>
    </row>
    <row r="27">
      <c r="A27" s="9" t="s">
        <v>243</v>
      </c>
      <c r="B27" s="16" t="s">
        <v>167</v>
      </c>
      <c r="C27" s="16">
        <v>5.716673735E9</v>
      </c>
      <c r="D27" s="16" t="s">
        <v>188</v>
      </c>
      <c r="E27" s="40" t="s">
        <v>244</v>
      </c>
      <c r="F27" s="16" t="s">
        <v>170</v>
      </c>
      <c r="G27" s="16" t="s">
        <v>171</v>
      </c>
      <c r="H27" s="16" t="s">
        <v>190</v>
      </c>
      <c r="I27" s="16">
        <v>2841.3</v>
      </c>
      <c r="N27" s="16">
        <v>2841.3</v>
      </c>
      <c r="O27" s="16" t="s">
        <v>173</v>
      </c>
      <c r="P27" s="16" t="s">
        <v>245</v>
      </c>
    </row>
    <row r="28">
      <c r="A28" s="9" t="s">
        <v>246</v>
      </c>
      <c r="B28" s="16" t="s">
        <v>167</v>
      </c>
      <c r="C28" s="16">
        <v>6.801637651E9</v>
      </c>
      <c r="D28" s="16" t="s">
        <v>176</v>
      </c>
      <c r="E28" s="40" t="s">
        <v>247</v>
      </c>
      <c r="F28" s="16" t="s">
        <v>170</v>
      </c>
      <c r="G28" s="16" t="s">
        <v>171</v>
      </c>
      <c r="H28" s="16" t="s">
        <v>190</v>
      </c>
      <c r="I28" s="16">
        <v>1809.9</v>
      </c>
      <c r="N28" s="16">
        <v>1809.9</v>
      </c>
      <c r="O28" s="16" t="s">
        <v>173</v>
      </c>
      <c r="P28" s="16" t="s">
        <v>248</v>
      </c>
    </row>
    <row r="29">
      <c r="A29" s="9" t="s">
        <v>246</v>
      </c>
      <c r="B29" s="16" t="s">
        <v>167</v>
      </c>
      <c r="C29" s="16">
        <v>6.150287966E9</v>
      </c>
      <c r="D29" s="16" t="s">
        <v>195</v>
      </c>
      <c r="E29" s="40" t="s">
        <v>249</v>
      </c>
      <c r="F29" s="16" t="s">
        <v>170</v>
      </c>
      <c r="G29" s="16" t="s">
        <v>171</v>
      </c>
      <c r="H29" s="16" t="s">
        <v>190</v>
      </c>
      <c r="I29" s="16">
        <v>1377.0</v>
      </c>
      <c r="N29" s="16">
        <v>1377.0</v>
      </c>
      <c r="O29" s="16" t="s">
        <v>173</v>
      </c>
      <c r="P29" s="16" t="s">
        <v>248</v>
      </c>
    </row>
    <row r="30">
      <c r="A30" s="9" t="s">
        <v>250</v>
      </c>
      <c r="B30" s="16" t="s">
        <v>167</v>
      </c>
      <c r="C30" s="16">
        <v>5.905177317E9</v>
      </c>
      <c r="D30" s="16" t="s">
        <v>188</v>
      </c>
      <c r="E30" s="40" t="s">
        <v>251</v>
      </c>
      <c r="F30" s="16" t="s">
        <v>170</v>
      </c>
      <c r="G30" s="16" t="s">
        <v>171</v>
      </c>
      <c r="H30" s="16" t="s">
        <v>190</v>
      </c>
      <c r="I30" s="16">
        <v>2627.1</v>
      </c>
      <c r="N30" s="16">
        <v>2627.1</v>
      </c>
      <c r="O30" s="16" t="s">
        <v>173</v>
      </c>
      <c r="P30" s="16" t="s">
        <v>252</v>
      </c>
    </row>
    <row r="31">
      <c r="A31" s="9" t="s">
        <v>250</v>
      </c>
      <c r="B31" s="16" t="s">
        <v>167</v>
      </c>
      <c r="C31" s="16">
        <v>6.548519833E9</v>
      </c>
      <c r="D31" s="16" t="s">
        <v>253</v>
      </c>
      <c r="E31" s="40" t="s">
        <v>254</v>
      </c>
      <c r="F31" s="16" t="s">
        <v>170</v>
      </c>
      <c r="G31" s="16" t="s">
        <v>171</v>
      </c>
      <c r="H31" s="16" t="s">
        <v>190</v>
      </c>
      <c r="I31" s="16">
        <v>1474.2</v>
      </c>
      <c r="N31" s="16">
        <v>1474.2</v>
      </c>
      <c r="O31" s="16" t="s">
        <v>173</v>
      </c>
      <c r="P31" s="16" t="s">
        <v>252</v>
      </c>
    </row>
    <row r="32">
      <c r="A32" s="9" t="s">
        <v>255</v>
      </c>
      <c r="B32" s="16" t="s">
        <v>167</v>
      </c>
      <c r="C32" s="16">
        <v>5.265572759E9</v>
      </c>
      <c r="D32" s="16" t="s">
        <v>168</v>
      </c>
      <c r="E32" s="40" t="s">
        <v>256</v>
      </c>
      <c r="F32" s="16" t="s">
        <v>170</v>
      </c>
      <c r="G32" s="16" t="s">
        <v>171</v>
      </c>
      <c r="H32" s="16" t="s">
        <v>172</v>
      </c>
      <c r="I32" s="16">
        <v>4345.6</v>
      </c>
      <c r="J32" s="16">
        <v>-732.56</v>
      </c>
      <c r="K32" s="16">
        <v>-60.33</v>
      </c>
      <c r="L32" s="16">
        <v>-36.4</v>
      </c>
      <c r="M32" s="16"/>
      <c r="N32" s="16">
        <v>3516.31</v>
      </c>
      <c r="O32" s="16" t="s">
        <v>173</v>
      </c>
      <c r="P32" s="16" t="s">
        <v>257</v>
      </c>
    </row>
    <row r="33">
      <c r="A33" s="9" t="s">
        <v>258</v>
      </c>
      <c r="B33" s="16" t="s">
        <v>167</v>
      </c>
      <c r="C33" s="16">
        <v>6.442194007E9</v>
      </c>
      <c r="D33" s="16" t="s">
        <v>259</v>
      </c>
      <c r="E33" s="40" t="s">
        <v>260</v>
      </c>
      <c r="F33" s="16" t="s">
        <v>170</v>
      </c>
      <c r="G33" s="16" t="s">
        <v>171</v>
      </c>
      <c r="H33" s="16" t="s">
        <v>172</v>
      </c>
      <c r="I33" s="16">
        <v>503.6</v>
      </c>
      <c r="J33" s="16">
        <v>-83.84</v>
      </c>
      <c r="K33" s="16">
        <v>-6.9</v>
      </c>
      <c r="L33" s="16">
        <v>-10.4</v>
      </c>
      <c r="M33" s="16"/>
      <c r="N33" s="16">
        <v>402.46</v>
      </c>
      <c r="O33" s="16" t="s">
        <v>173</v>
      </c>
      <c r="P33" s="16" t="s">
        <v>261</v>
      </c>
    </row>
    <row r="34">
      <c r="A34" s="9" t="s">
        <v>258</v>
      </c>
      <c r="B34" s="16" t="s">
        <v>167</v>
      </c>
      <c r="C34" s="16">
        <v>6.835976096E9</v>
      </c>
      <c r="D34" s="16" t="s">
        <v>188</v>
      </c>
      <c r="E34" s="40" t="s">
        <v>262</v>
      </c>
      <c r="F34" s="16" t="s">
        <v>170</v>
      </c>
      <c r="G34" s="16" t="s">
        <v>171</v>
      </c>
      <c r="H34" s="16" t="s">
        <v>172</v>
      </c>
      <c r="I34" s="16">
        <v>800.9</v>
      </c>
      <c r="J34" s="16">
        <v>-131.73</v>
      </c>
      <c r="K34" s="16">
        <v>-10.85</v>
      </c>
      <c r="L34" s="16">
        <v>-26.0</v>
      </c>
      <c r="M34" s="16"/>
      <c r="N34" s="16">
        <v>632.32</v>
      </c>
      <c r="O34" s="16" t="s">
        <v>173</v>
      </c>
      <c r="P34" s="16" t="s">
        <v>261</v>
      </c>
    </row>
    <row r="35">
      <c r="A35" s="9" t="s">
        <v>258</v>
      </c>
      <c r="B35" s="16" t="s">
        <v>167</v>
      </c>
      <c r="C35" s="16">
        <v>6.787489214E9</v>
      </c>
      <c r="D35" s="16" t="s">
        <v>218</v>
      </c>
      <c r="E35" s="40" t="s">
        <v>263</v>
      </c>
      <c r="F35" s="16" t="s">
        <v>170</v>
      </c>
      <c r="G35" s="16" t="s">
        <v>171</v>
      </c>
      <c r="H35" s="16" t="s">
        <v>172</v>
      </c>
      <c r="I35" s="16">
        <v>2906.1</v>
      </c>
      <c r="J35" s="16">
        <v>-486.08</v>
      </c>
      <c r="K35" s="16">
        <v>-40.03</v>
      </c>
      <c r="L35" s="16">
        <v>-46.8</v>
      </c>
      <c r="M35" s="16"/>
      <c r="N35" s="16">
        <v>2333.19</v>
      </c>
      <c r="O35" s="16" t="s">
        <v>173</v>
      </c>
      <c r="P35" s="16" t="s">
        <v>261</v>
      </c>
    </row>
    <row r="36">
      <c r="A36" s="9" t="s">
        <v>258</v>
      </c>
      <c r="B36" s="16" t="s">
        <v>167</v>
      </c>
      <c r="C36" s="16">
        <v>5.271490387E9</v>
      </c>
      <c r="D36" s="16" t="s">
        <v>264</v>
      </c>
      <c r="E36" s="16" t="s">
        <v>265</v>
      </c>
      <c r="F36" s="16" t="s">
        <v>170</v>
      </c>
      <c r="G36" s="16" t="s">
        <v>171</v>
      </c>
      <c r="H36" s="16" t="s">
        <v>172</v>
      </c>
      <c r="I36" s="16">
        <v>10.4</v>
      </c>
      <c r="J36" s="16">
        <v>-2.58</v>
      </c>
      <c r="K36" s="16">
        <v>-0.21</v>
      </c>
      <c r="L36" s="16">
        <v>-10.4</v>
      </c>
      <c r="M36" s="16"/>
      <c r="N36" s="16">
        <v>-2.79</v>
      </c>
      <c r="O36" s="16" t="s">
        <v>173</v>
      </c>
      <c r="P36" s="16" t="s">
        <v>261</v>
      </c>
    </row>
    <row r="37">
      <c r="A37" s="9" t="s">
        <v>266</v>
      </c>
      <c r="B37" s="16" t="s">
        <v>167</v>
      </c>
      <c r="C37" s="16">
        <v>6.013840979E9</v>
      </c>
      <c r="D37" s="16" t="s">
        <v>195</v>
      </c>
      <c r="E37" s="40" t="s">
        <v>267</v>
      </c>
      <c r="F37" s="16" t="s">
        <v>170</v>
      </c>
      <c r="G37" s="16" t="s">
        <v>171</v>
      </c>
      <c r="H37" s="16" t="s">
        <v>190</v>
      </c>
      <c r="I37" s="16">
        <v>2378.7</v>
      </c>
      <c r="N37" s="16">
        <v>2378.7</v>
      </c>
      <c r="O37" s="16" t="s">
        <v>173</v>
      </c>
      <c r="P37" s="16" t="s">
        <v>268</v>
      </c>
    </row>
    <row r="38">
      <c r="A38" s="9" t="s">
        <v>269</v>
      </c>
      <c r="B38" s="16" t="s">
        <v>167</v>
      </c>
      <c r="C38" s="16">
        <v>5.024203707E9</v>
      </c>
      <c r="D38" s="16" t="s">
        <v>253</v>
      </c>
      <c r="E38" s="6" t="s">
        <v>270</v>
      </c>
      <c r="F38" s="16" t="s">
        <v>170</v>
      </c>
      <c r="G38" s="16" t="s">
        <v>171</v>
      </c>
      <c r="H38" s="16" t="s">
        <v>190</v>
      </c>
      <c r="I38" s="16">
        <v>1546.2</v>
      </c>
      <c r="N38" s="16">
        <v>1546.2</v>
      </c>
      <c r="O38" s="16" t="s">
        <v>173</v>
      </c>
      <c r="P38" s="16" t="s">
        <v>271</v>
      </c>
    </row>
    <row r="39">
      <c r="A39" s="9" t="s">
        <v>272</v>
      </c>
      <c r="B39" s="16" t="s">
        <v>167</v>
      </c>
      <c r="C39" s="16">
        <v>6.445655486E9</v>
      </c>
      <c r="D39" s="16" t="s">
        <v>253</v>
      </c>
      <c r="E39" s="40" t="s">
        <v>273</v>
      </c>
      <c r="F39" s="16" t="s">
        <v>170</v>
      </c>
      <c r="G39" s="16" t="s">
        <v>171</v>
      </c>
      <c r="H39" s="16" t="s">
        <v>190</v>
      </c>
      <c r="I39" s="16">
        <v>2058.62</v>
      </c>
      <c r="N39" s="16">
        <v>2058.62</v>
      </c>
      <c r="O39" s="16" t="s">
        <v>173</v>
      </c>
      <c r="P39" s="16" t="s">
        <v>274</v>
      </c>
    </row>
    <row r="40">
      <c r="A40" s="9" t="s">
        <v>272</v>
      </c>
      <c r="B40" s="16" t="s">
        <v>167</v>
      </c>
      <c r="C40" s="16">
        <v>5.430402799E9</v>
      </c>
      <c r="D40" s="16" t="s">
        <v>212</v>
      </c>
      <c r="E40" s="16" t="s">
        <v>275</v>
      </c>
      <c r="F40" s="16" t="s">
        <v>170</v>
      </c>
      <c r="G40" s="16" t="s">
        <v>171</v>
      </c>
      <c r="H40" s="16" t="s">
        <v>190</v>
      </c>
      <c r="I40" s="16">
        <v>-15.6</v>
      </c>
      <c r="N40" s="16">
        <v>-15.6</v>
      </c>
      <c r="O40" s="16" t="s">
        <v>173</v>
      </c>
      <c r="P40" s="16" t="s">
        <v>274</v>
      </c>
    </row>
    <row r="41">
      <c r="A41" s="9" t="s">
        <v>276</v>
      </c>
      <c r="B41" s="16" t="s">
        <v>167</v>
      </c>
      <c r="C41" s="16">
        <v>5.875542693E9</v>
      </c>
      <c r="D41" s="16" t="s">
        <v>184</v>
      </c>
      <c r="E41" s="40" t="s">
        <v>277</v>
      </c>
      <c r="F41" s="16" t="s">
        <v>170</v>
      </c>
      <c r="G41" s="16" t="s">
        <v>171</v>
      </c>
      <c r="H41" s="16" t="s">
        <v>172</v>
      </c>
      <c r="I41" s="16">
        <v>1091.0</v>
      </c>
      <c r="J41" s="16">
        <v>-178.4</v>
      </c>
      <c r="K41" s="16">
        <v>-14.69</v>
      </c>
      <c r="L41" s="16">
        <v>-41.6</v>
      </c>
      <c r="M41" s="16"/>
      <c r="N41" s="16">
        <v>856.31</v>
      </c>
      <c r="O41" s="16" t="s">
        <v>173</v>
      </c>
      <c r="P41" s="16" t="s">
        <v>278</v>
      </c>
    </row>
    <row r="42">
      <c r="A42" s="9" t="s">
        <v>276</v>
      </c>
      <c r="B42" s="16" t="s">
        <v>167</v>
      </c>
      <c r="C42" s="16">
        <v>5.596101089E9</v>
      </c>
      <c r="D42" s="16" t="s">
        <v>279</v>
      </c>
      <c r="E42" s="16" t="s">
        <v>280</v>
      </c>
      <c r="F42" s="16" t="s">
        <v>170</v>
      </c>
      <c r="G42" s="16" t="s">
        <v>171</v>
      </c>
      <c r="H42" s="16" t="s">
        <v>172</v>
      </c>
      <c r="I42" s="16">
        <v>54.6</v>
      </c>
      <c r="J42" s="16">
        <v>-2.6</v>
      </c>
      <c r="K42" s="16">
        <v>-0.21</v>
      </c>
      <c r="L42" s="16">
        <v>-54.6</v>
      </c>
      <c r="M42" s="16"/>
      <c r="N42" s="16">
        <v>-2.81</v>
      </c>
      <c r="O42" s="16" t="s">
        <v>173</v>
      </c>
      <c r="P42" s="16" t="s">
        <v>278</v>
      </c>
    </row>
    <row r="43">
      <c r="A43" s="9" t="s">
        <v>281</v>
      </c>
      <c r="B43" s="16" t="s">
        <v>167</v>
      </c>
      <c r="C43" s="16">
        <v>6.666894291E9</v>
      </c>
      <c r="D43" s="16" t="s">
        <v>188</v>
      </c>
      <c r="E43" s="40" t="s">
        <v>282</v>
      </c>
      <c r="F43" s="16" t="s">
        <v>170</v>
      </c>
      <c r="G43" s="16" t="s">
        <v>171</v>
      </c>
      <c r="H43" s="16" t="s">
        <v>172</v>
      </c>
      <c r="I43" s="16">
        <v>1353.9</v>
      </c>
      <c r="J43" s="16">
        <v>-219.56</v>
      </c>
      <c r="K43" s="16">
        <v>-18.08</v>
      </c>
      <c r="L43" s="16">
        <v>-62.4</v>
      </c>
      <c r="M43" s="16"/>
      <c r="N43" s="16">
        <v>1053.86</v>
      </c>
      <c r="O43" s="16" t="s">
        <v>173</v>
      </c>
      <c r="P43" s="16" t="s">
        <v>283</v>
      </c>
    </row>
    <row r="44">
      <c r="A44" s="9" t="s">
        <v>284</v>
      </c>
      <c r="B44" s="16" t="s">
        <v>167</v>
      </c>
      <c r="C44" s="16">
        <v>6.956618496E9</v>
      </c>
      <c r="D44" s="16" t="s">
        <v>218</v>
      </c>
      <c r="E44" s="40" t="s">
        <v>285</v>
      </c>
      <c r="F44" s="16" t="s">
        <v>170</v>
      </c>
      <c r="G44" s="16" t="s">
        <v>171</v>
      </c>
      <c r="H44" s="16" t="s">
        <v>172</v>
      </c>
      <c r="I44" s="16">
        <v>7289.1</v>
      </c>
      <c r="J44" s="16">
        <v>-1227.21</v>
      </c>
      <c r="K44" s="16">
        <v>-101.06</v>
      </c>
      <c r="L44" s="16">
        <v>-70.2</v>
      </c>
      <c r="M44" s="16"/>
      <c r="N44" s="16">
        <v>5890.63</v>
      </c>
      <c r="O44" s="16" t="s">
        <v>173</v>
      </c>
      <c r="P44" s="16" t="s">
        <v>286</v>
      </c>
    </row>
    <row r="45">
      <c r="A45" s="9" t="s">
        <v>287</v>
      </c>
      <c r="B45" s="16" t="s">
        <v>167</v>
      </c>
      <c r="C45" s="16">
        <v>6.855516318E9</v>
      </c>
      <c r="D45" s="16" t="s">
        <v>188</v>
      </c>
      <c r="E45" s="40" t="s">
        <v>288</v>
      </c>
      <c r="F45" s="16" t="s">
        <v>170</v>
      </c>
      <c r="G45" s="16" t="s">
        <v>171</v>
      </c>
      <c r="H45" s="16" t="s">
        <v>172</v>
      </c>
      <c r="I45" s="16">
        <v>1951.8</v>
      </c>
      <c r="J45" s="16">
        <v>-317.22</v>
      </c>
      <c r="K45" s="16">
        <v>-26.12</v>
      </c>
      <c r="L45" s="16">
        <v>-85.8</v>
      </c>
      <c r="M45" s="16"/>
      <c r="N45" s="16">
        <v>1522.66</v>
      </c>
      <c r="O45" s="16" t="s">
        <v>173</v>
      </c>
      <c r="P45" s="16" t="s">
        <v>289</v>
      </c>
    </row>
    <row r="46">
      <c r="A46" s="9" t="s">
        <v>290</v>
      </c>
      <c r="B46" s="16" t="s">
        <v>167</v>
      </c>
      <c r="C46" s="16">
        <v>5.692773205E9</v>
      </c>
      <c r="D46" s="16" t="s">
        <v>188</v>
      </c>
      <c r="E46" s="40" t="s">
        <v>291</v>
      </c>
      <c r="F46" s="16" t="s">
        <v>170</v>
      </c>
      <c r="G46" s="16" t="s">
        <v>171</v>
      </c>
      <c r="H46" s="16" t="s">
        <v>172</v>
      </c>
      <c r="I46" s="16">
        <v>1075.0</v>
      </c>
      <c r="J46" s="16">
        <v>-178.33</v>
      </c>
      <c r="K46" s="16">
        <v>-14.69</v>
      </c>
      <c r="L46" s="16">
        <v>-26.0</v>
      </c>
      <c r="M46" s="16"/>
      <c r="N46" s="16">
        <v>855.98</v>
      </c>
      <c r="O46" s="16" t="s">
        <v>173</v>
      </c>
      <c r="P46" s="16" t="s">
        <v>292</v>
      </c>
    </row>
    <row r="47">
      <c r="A47" s="9" t="s">
        <v>290</v>
      </c>
      <c r="B47" s="16" t="s">
        <v>167</v>
      </c>
      <c r="C47" s="16">
        <v>5.372703456E9</v>
      </c>
      <c r="D47" s="16" t="s">
        <v>253</v>
      </c>
      <c r="E47" s="40" t="s">
        <v>293</v>
      </c>
      <c r="F47" s="16" t="s">
        <v>170</v>
      </c>
      <c r="G47" s="16" t="s">
        <v>171</v>
      </c>
      <c r="H47" s="16" t="s">
        <v>172</v>
      </c>
      <c r="I47" s="16">
        <v>1046.7</v>
      </c>
      <c r="J47" s="16">
        <v>-169.98</v>
      </c>
      <c r="K47" s="16">
        <v>-14.0</v>
      </c>
      <c r="L47" s="16">
        <v>-46.8</v>
      </c>
      <c r="M47" s="16"/>
      <c r="N47" s="16">
        <v>815.92</v>
      </c>
      <c r="O47" s="16" t="s">
        <v>173</v>
      </c>
      <c r="P47" s="16" t="s">
        <v>292</v>
      </c>
    </row>
    <row r="48">
      <c r="A48" s="9" t="s">
        <v>294</v>
      </c>
      <c r="B48" s="16" t="s">
        <v>167</v>
      </c>
      <c r="C48" s="16">
        <v>6.853836513E9</v>
      </c>
      <c r="D48" s="16" t="s">
        <v>218</v>
      </c>
      <c r="E48" s="40" t="s">
        <v>295</v>
      </c>
      <c r="F48" s="16" t="s">
        <v>170</v>
      </c>
      <c r="G48" s="16" t="s">
        <v>171</v>
      </c>
      <c r="H48" s="16" t="s">
        <v>172</v>
      </c>
      <c r="I48" s="16">
        <v>3051.3</v>
      </c>
      <c r="J48" s="16">
        <v>-512.09</v>
      </c>
      <c r="K48" s="16">
        <v>-42.17</v>
      </c>
      <c r="L48" s="16">
        <v>-39.0</v>
      </c>
      <c r="M48" s="16"/>
      <c r="N48" s="16">
        <v>2458.04</v>
      </c>
      <c r="O48" s="16" t="s">
        <v>173</v>
      </c>
      <c r="P48" s="16" t="s">
        <v>296</v>
      </c>
    </row>
    <row r="49">
      <c r="A49" s="9" t="s">
        <v>297</v>
      </c>
      <c r="B49" s="16" t="s">
        <v>167</v>
      </c>
      <c r="C49" s="16">
        <v>5.767777318E9</v>
      </c>
      <c r="D49" s="16" t="s">
        <v>253</v>
      </c>
      <c r="E49" s="40" t="s">
        <v>298</v>
      </c>
      <c r="F49" s="16" t="s">
        <v>170</v>
      </c>
      <c r="G49" s="16" t="s">
        <v>171</v>
      </c>
      <c r="H49" s="16" t="s">
        <v>190</v>
      </c>
      <c r="I49" s="16">
        <v>1701.9</v>
      </c>
      <c r="N49" s="16">
        <v>1701.9</v>
      </c>
      <c r="O49" s="16" t="s">
        <v>173</v>
      </c>
      <c r="P49" s="16" t="s">
        <v>299</v>
      </c>
    </row>
    <row r="50">
      <c r="A50" s="9" t="s">
        <v>300</v>
      </c>
      <c r="B50" s="16" t="s">
        <v>167</v>
      </c>
      <c r="C50" s="16">
        <v>5.594311282E9</v>
      </c>
      <c r="D50" s="16" t="s">
        <v>215</v>
      </c>
      <c r="E50" s="40" t="s">
        <v>301</v>
      </c>
      <c r="F50" s="16" t="s">
        <v>170</v>
      </c>
      <c r="G50" s="16" t="s">
        <v>171</v>
      </c>
      <c r="H50" s="16" t="s">
        <v>172</v>
      </c>
      <c r="I50" s="16">
        <v>671.4</v>
      </c>
      <c r="J50" s="16">
        <v>-110.16</v>
      </c>
      <c r="K50" s="16">
        <v>-9.07</v>
      </c>
      <c r="L50" s="16">
        <v>-23.4</v>
      </c>
      <c r="M50" s="16"/>
      <c r="N50" s="16">
        <v>528.77</v>
      </c>
      <c r="O50" s="16" t="s">
        <v>173</v>
      </c>
      <c r="P50" s="16" t="s">
        <v>302</v>
      </c>
    </row>
    <row r="51">
      <c r="A51" s="9" t="s">
        <v>300</v>
      </c>
      <c r="B51" s="16" t="s">
        <v>167</v>
      </c>
      <c r="C51" s="16">
        <v>5.62831416E9</v>
      </c>
      <c r="D51" s="16" t="s">
        <v>195</v>
      </c>
      <c r="E51" s="40" t="s">
        <v>303</v>
      </c>
      <c r="F51" s="16" t="s">
        <v>170</v>
      </c>
      <c r="G51" s="16" t="s">
        <v>171</v>
      </c>
      <c r="H51" s="16" t="s">
        <v>172</v>
      </c>
      <c r="I51" s="16">
        <v>1348.5</v>
      </c>
      <c r="J51" s="16">
        <v>-222.62</v>
      </c>
      <c r="K51" s="16">
        <v>-18.33</v>
      </c>
      <c r="L51" s="16">
        <v>-39.0</v>
      </c>
      <c r="M51" s="16"/>
      <c r="N51" s="16">
        <v>1068.55</v>
      </c>
      <c r="O51" s="16" t="s">
        <v>173</v>
      </c>
      <c r="P51" s="16" t="s">
        <v>302</v>
      </c>
    </row>
    <row r="52">
      <c r="A52" s="9" t="s">
        <v>304</v>
      </c>
      <c r="B52" s="16" t="s">
        <v>167</v>
      </c>
      <c r="C52" s="16">
        <v>5.027700637E9</v>
      </c>
      <c r="D52" s="16" t="s">
        <v>176</v>
      </c>
      <c r="E52" s="40" t="s">
        <v>305</v>
      </c>
      <c r="F52" s="16" t="s">
        <v>170</v>
      </c>
      <c r="G52" s="16" t="s">
        <v>171</v>
      </c>
      <c r="H52" s="16" t="s">
        <v>172</v>
      </c>
      <c r="I52" s="16">
        <v>1500.52</v>
      </c>
      <c r="J52" s="16">
        <v>-244.48</v>
      </c>
      <c r="K52" s="16">
        <v>-20.13</v>
      </c>
      <c r="L52" s="16">
        <v>-62.4</v>
      </c>
      <c r="M52" s="16"/>
      <c r="N52" s="16">
        <v>1173.51</v>
      </c>
      <c r="O52" s="16" t="s">
        <v>173</v>
      </c>
      <c r="P52" s="16" t="s">
        <v>306</v>
      </c>
    </row>
    <row r="53">
      <c r="A53" s="9" t="s">
        <v>304</v>
      </c>
      <c r="B53" s="16" t="s">
        <v>167</v>
      </c>
      <c r="C53" s="16">
        <v>6.718244762E9</v>
      </c>
      <c r="D53" s="16" t="s">
        <v>253</v>
      </c>
      <c r="E53" s="40" t="s">
        <v>307</v>
      </c>
      <c r="F53" s="16" t="s">
        <v>170</v>
      </c>
      <c r="G53" s="16" t="s">
        <v>171</v>
      </c>
      <c r="H53" s="16" t="s">
        <v>172</v>
      </c>
      <c r="I53" s="16">
        <v>850.65</v>
      </c>
      <c r="J53" s="16">
        <v>-139.31</v>
      </c>
      <c r="K53" s="16">
        <v>-11.47</v>
      </c>
      <c r="L53" s="16">
        <v>-31.2</v>
      </c>
      <c r="M53" s="16"/>
      <c r="N53" s="16">
        <v>668.67</v>
      </c>
      <c r="O53" s="16" t="s">
        <v>173</v>
      </c>
      <c r="P53" s="16" t="s">
        <v>306</v>
      </c>
    </row>
    <row r="54">
      <c r="A54" s="9" t="s">
        <v>308</v>
      </c>
      <c r="B54" s="16" t="s">
        <v>167</v>
      </c>
      <c r="C54" s="16">
        <v>6.772186605E9</v>
      </c>
      <c r="D54" s="16" t="s">
        <v>259</v>
      </c>
      <c r="E54" s="40" t="s">
        <v>309</v>
      </c>
      <c r="F54" s="16" t="s">
        <v>170</v>
      </c>
      <c r="G54" s="16" t="s">
        <v>171</v>
      </c>
      <c r="H54" s="16" t="s">
        <v>190</v>
      </c>
      <c r="I54" s="16">
        <v>675.0</v>
      </c>
      <c r="N54" s="16">
        <v>675.0</v>
      </c>
      <c r="O54" s="16" t="s">
        <v>173</v>
      </c>
      <c r="P54" s="16" t="s">
        <v>310</v>
      </c>
    </row>
    <row r="55">
      <c r="A55" s="9" t="s">
        <v>308</v>
      </c>
      <c r="B55" s="16" t="s">
        <v>167</v>
      </c>
      <c r="C55" s="16">
        <v>6.533361294E9</v>
      </c>
      <c r="D55" s="16" t="s">
        <v>184</v>
      </c>
      <c r="E55" s="40" t="s">
        <v>311</v>
      </c>
      <c r="F55" s="16" t="s">
        <v>170</v>
      </c>
      <c r="G55" s="16" t="s">
        <v>171</v>
      </c>
      <c r="H55" s="16" t="s">
        <v>190</v>
      </c>
      <c r="I55" s="16">
        <v>1577.7</v>
      </c>
      <c r="N55" s="16">
        <v>1577.7</v>
      </c>
      <c r="O55" s="16" t="s">
        <v>173</v>
      </c>
      <c r="P55" s="16" t="s">
        <v>310</v>
      </c>
    </row>
    <row r="56">
      <c r="A56" s="9" t="s">
        <v>308</v>
      </c>
      <c r="B56" s="16" t="s">
        <v>167</v>
      </c>
      <c r="C56" s="16">
        <v>5.581196946E9</v>
      </c>
      <c r="D56" s="16" t="s">
        <v>168</v>
      </c>
      <c r="E56" s="40" t="s">
        <v>312</v>
      </c>
      <c r="F56" s="16" t="s">
        <v>170</v>
      </c>
      <c r="G56" s="16" t="s">
        <v>171</v>
      </c>
      <c r="H56" s="16" t="s">
        <v>190</v>
      </c>
      <c r="I56" s="16">
        <v>570.6</v>
      </c>
      <c r="N56" s="16">
        <v>570.6</v>
      </c>
      <c r="O56" s="16" t="s">
        <v>173</v>
      </c>
      <c r="P56" s="16" t="s">
        <v>310</v>
      </c>
    </row>
    <row r="57">
      <c r="A57" s="9" t="s">
        <v>313</v>
      </c>
      <c r="B57" s="16" t="s">
        <v>167</v>
      </c>
      <c r="C57" s="16">
        <v>5.778441944E9</v>
      </c>
      <c r="D57" s="16" t="s">
        <v>188</v>
      </c>
      <c r="E57" s="40" t="s">
        <v>314</v>
      </c>
      <c r="F57" s="16" t="s">
        <v>170</v>
      </c>
      <c r="G57" s="16" t="s">
        <v>171</v>
      </c>
      <c r="H57" s="16" t="s">
        <v>172</v>
      </c>
      <c r="I57" s="16">
        <v>1082.84</v>
      </c>
      <c r="J57" s="16">
        <v>-182.31</v>
      </c>
      <c r="K57" s="16">
        <v>-15.01</v>
      </c>
      <c r="L57" s="16">
        <v>-10.4</v>
      </c>
      <c r="M57" s="16"/>
      <c r="N57" s="16">
        <v>875.12</v>
      </c>
      <c r="O57" s="16" t="s">
        <v>173</v>
      </c>
      <c r="P57" s="16" t="s">
        <v>315</v>
      </c>
    </row>
    <row r="58">
      <c r="A58" s="9" t="s">
        <v>313</v>
      </c>
      <c r="B58" s="16" t="s">
        <v>167</v>
      </c>
      <c r="C58" s="16">
        <v>6.002332366E9</v>
      </c>
      <c r="D58" s="16" t="s">
        <v>253</v>
      </c>
      <c r="E58" s="40" t="s">
        <v>316</v>
      </c>
      <c r="F58" s="16" t="s">
        <v>170</v>
      </c>
      <c r="G58" s="16" t="s">
        <v>171</v>
      </c>
      <c r="H58" s="16" t="s">
        <v>172</v>
      </c>
      <c r="I58" s="16">
        <v>1709.58</v>
      </c>
      <c r="J58" s="16">
        <v>-285.32</v>
      </c>
      <c r="K58" s="16">
        <v>-23.5</v>
      </c>
      <c r="L58" s="16">
        <v>-31.2</v>
      </c>
      <c r="M58" s="16"/>
      <c r="N58" s="16">
        <v>1369.56</v>
      </c>
      <c r="O58" s="16" t="s">
        <v>173</v>
      </c>
      <c r="P58" s="16" t="s">
        <v>315</v>
      </c>
    </row>
    <row r="59">
      <c r="A59" s="9" t="s">
        <v>317</v>
      </c>
      <c r="B59" s="16" t="s">
        <v>167</v>
      </c>
      <c r="C59" s="16">
        <v>6.252735475E9</v>
      </c>
      <c r="D59" s="16" t="s">
        <v>168</v>
      </c>
      <c r="E59" s="40" t="s">
        <v>318</v>
      </c>
      <c r="F59" s="16" t="s">
        <v>170</v>
      </c>
      <c r="G59" s="16" t="s">
        <v>171</v>
      </c>
      <c r="H59" s="16" t="s">
        <v>190</v>
      </c>
      <c r="I59" s="16">
        <v>504.0</v>
      </c>
      <c r="N59" s="16">
        <v>504.0</v>
      </c>
      <c r="O59" s="16" t="s">
        <v>173</v>
      </c>
      <c r="P59" s="16" t="s">
        <v>319</v>
      </c>
    </row>
    <row r="60">
      <c r="A60" s="9" t="s">
        <v>320</v>
      </c>
      <c r="B60" s="16" t="s">
        <v>167</v>
      </c>
      <c r="C60" s="16">
        <v>5.489110169E9</v>
      </c>
      <c r="D60" s="16" t="s">
        <v>259</v>
      </c>
      <c r="E60" s="40" t="s">
        <v>321</v>
      </c>
      <c r="F60" s="16" t="s">
        <v>170</v>
      </c>
      <c r="G60" s="16" t="s">
        <v>171</v>
      </c>
      <c r="H60" s="16" t="s">
        <v>172</v>
      </c>
      <c r="I60" s="16">
        <v>528.6</v>
      </c>
      <c r="J60" s="16">
        <v>-87.21</v>
      </c>
      <c r="K60" s="16">
        <v>-7.18</v>
      </c>
      <c r="L60" s="16">
        <v>-15.6</v>
      </c>
      <c r="M60" s="16"/>
      <c r="N60" s="16">
        <v>418.61</v>
      </c>
      <c r="O60" s="16" t="s">
        <v>173</v>
      </c>
      <c r="P60" s="16" t="s">
        <v>322</v>
      </c>
    </row>
    <row r="61">
      <c r="A61" s="9" t="s">
        <v>320</v>
      </c>
      <c r="B61" s="16" t="s">
        <v>167</v>
      </c>
      <c r="C61" s="16">
        <v>5.742464151E9</v>
      </c>
      <c r="D61" s="16" t="s">
        <v>188</v>
      </c>
      <c r="E61" s="40" t="s">
        <v>323</v>
      </c>
      <c r="F61" s="16" t="s">
        <v>170</v>
      </c>
      <c r="G61" s="16" t="s">
        <v>171</v>
      </c>
      <c r="H61" s="16" t="s">
        <v>172</v>
      </c>
      <c r="I61" s="16">
        <v>1351.8</v>
      </c>
      <c r="J61" s="16">
        <v>-221.85</v>
      </c>
      <c r="K61" s="16">
        <v>-18.27</v>
      </c>
      <c r="L61" s="16">
        <v>-46.8</v>
      </c>
      <c r="M61" s="16"/>
      <c r="N61" s="16">
        <v>1064.88</v>
      </c>
      <c r="O61" s="16" t="s">
        <v>173</v>
      </c>
      <c r="P61" s="16" t="s">
        <v>322</v>
      </c>
    </row>
    <row r="62">
      <c r="A62" s="9" t="s">
        <v>320</v>
      </c>
      <c r="B62" s="16" t="s">
        <v>167</v>
      </c>
      <c r="C62" s="16">
        <v>5.420487956E9</v>
      </c>
      <c r="D62" s="16" t="s">
        <v>168</v>
      </c>
      <c r="E62" s="40" t="s">
        <v>324</v>
      </c>
      <c r="F62" s="16" t="s">
        <v>170</v>
      </c>
      <c r="G62" s="16" t="s">
        <v>171</v>
      </c>
      <c r="H62" s="16" t="s">
        <v>172</v>
      </c>
      <c r="I62" s="16">
        <v>861.6</v>
      </c>
      <c r="J62" s="16">
        <v>-139.84</v>
      </c>
      <c r="K62" s="16">
        <v>-11.52</v>
      </c>
      <c r="L62" s="16">
        <v>-39.0</v>
      </c>
      <c r="M62" s="16"/>
      <c r="N62" s="16">
        <v>671.24</v>
      </c>
      <c r="O62" s="16" t="s">
        <v>173</v>
      </c>
      <c r="P62" s="16" t="s">
        <v>322</v>
      </c>
    </row>
    <row r="63">
      <c r="A63" s="9" t="s">
        <v>325</v>
      </c>
      <c r="B63" s="16" t="s">
        <v>167</v>
      </c>
      <c r="C63" s="16">
        <v>5.038942714E9</v>
      </c>
      <c r="D63" s="16" t="s">
        <v>188</v>
      </c>
      <c r="E63" s="40" t="s">
        <v>326</v>
      </c>
      <c r="F63" s="16" t="s">
        <v>170</v>
      </c>
      <c r="G63" s="16" t="s">
        <v>171</v>
      </c>
      <c r="H63" s="16" t="s">
        <v>190</v>
      </c>
      <c r="I63" s="16">
        <v>863.1</v>
      </c>
      <c r="N63" s="16">
        <v>863.1</v>
      </c>
      <c r="O63" s="16" t="s">
        <v>173</v>
      </c>
      <c r="P63" s="16" t="s">
        <v>327</v>
      </c>
    </row>
    <row r="64">
      <c r="A64" s="9" t="s">
        <v>328</v>
      </c>
      <c r="B64" s="16" t="s">
        <v>167</v>
      </c>
      <c r="C64" s="16">
        <v>6.89900894E9</v>
      </c>
      <c r="D64" s="16" t="s">
        <v>215</v>
      </c>
      <c r="E64" s="40" t="s">
        <v>329</v>
      </c>
      <c r="F64" s="16" t="s">
        <v>170</v>
      </c>
      <c r="G64" s="16" t="s">
        <v>171</v>
      </c>
      <c r="H64" s="16" t="s">
        <v>190</v>
      </c>
      <c r="I64" s="16">
        <v>572.4</v>
      </c>
      <c r="N64" s="16">
        <v>572.4</v>
      </c>
      <c r="O64" s="16" t="s">
        <v>173</v>
      </c>
      <c r="P64" s="16" t="s">
        <v>330</v>
      </c>
    </row>
    <row r="65">
      <c r="A65" s="9" t="s">
        <v>328</v>
      </c>
      <c r="B65" s="16" t="s">
        <v>167</v>
      </c>
      <c r="C65" s="16">
        <v>5.127400299E9</v>
      </c>
      <c r="D65" s="16" t="s">
        <v>215</v>
      </c>
      <c r="E65" s="40" t="s">
        <v>331</v>
      </c>
      <c r="F65" s="16" t="s">
        <v>170</v>
      </c>
      <c r="G65" s="16" t="s">
        <v>171</v>
      </c>
      <c r="H65" s="16" t="s">
        <v>190</v>
      </c>
      <c r="I65" s="16">
        <v>443.7</v>
      </c>
      <c r="N65" s="16">
        <v>443.7</v>
      </c>
      <c r="O65" s="16" t="s">
        <v>173</v>
      </c>
      <c r="P65" s="16" t="s">
        <v>330</v>
      </c>
    </row>
    <row r="66">
      <c r="A66" s="9" t="s">
        <v>328</v>
      </c>
      <c r="B66" s="16" t="s">
        <v>167</v>
      </c>
      <c r="C66" s="16">
        <v>6.395296481E9</v>
      </c>
      <c r="D66" s="16" t="s">
        <v>195</v>
      </c>
      <c r="E66" s="40" t="s">
        <v>332</v>
      </c>
      <c r="F66" s="16" t="s">
        <v>170</v>
      </c>
      <c r="G66" s="16" t="s">
        <v>171</v>
      </c>
      <c r="H66" s="16" t="s">
        <v>190</v>
      </c>
      <c r="I66" s="16">
        <v>-15.6</v>
      </c>
      <c r="N66" s="16">
        <v>-15.6</v>
      </c>
      <c r="O66" s="16" t="s">
        <v>173</v>
      </c>
      <c r="P66" s="16" t="s">
        <v>330</v>
      </c>
    </row>
    <row r="67">
      <c r="A67" s="9" t="s">
        <v>328</v>
      </c>
      <c r="B67" s="16" t="s">
        <v>167</v>
      </c>
      <c r="C67" s="16">
        <v>6.344671173E9</v>
      </c>
      <c r="D67" s="16" t="s">
        <v>333</v>
      </c>
      <c r="E67" s="40" t="s">
        <v>334</v>
      </c>
      <c r="F67" s="16" t="s">
        <v>170</v>
      </c>
      <c r="G67" s="16" t="s">
        <v>171</v>
      </c>
      <c r="H67" s="16" t="s">
        <v>190</v>
      </c>
      <c r="I67" s="16">
        <v>-78.0</v>
      </c>
      <c r="N67" s="16">
        <v>-78.0</v>
      </c>
      <c r="O67" s="16" t="s">
        <v>173</v>
      </c>
      <c r="P67" s="16" t="s">
        <v>330</v>
      </c>
    </row>
    <row r="68">
      <c r="A68" s="9" t="s">
        <v>335</v>
      </c>
      <c r="B68" s="16" t="s">
        <v>167</v>
      </c>
      <c r="C68" s="16">
        <v>5.331664067E9</v>
      </c>
      <c r="D68" s="16" t="s">
        <v>188</v>
      </c>
      <c r="E68" s="40" t="s">
        <v>336</v>
      </c>
      <c r="F68" s="16" t="s">
        <v>170</v>
      </c>
      <c r="G68" s="16" t="s">
        <v>171</v>
      </c>
      <c r="H68" s="16" t="s">
        <v>172</v>
      </c>
      <c r="I68" s="16">
        <v>1275.2</v>
      </c>
      <c r="J68" s="16">
        <v>-212.36</v>
      </c>
      <c r="K68" s="16">
        <v>-17.49</v>
      </c>
      <c r="L68" s="16">
        <v>-26.0</v>
      </c>
      <c r="M68" s="16"/>
      <c r="N68" s="16">
        <v>1019.35</v>
      </c>
      <c r="O68" s="16" t="s">
        <v>173</v>
      </c>
      <c r="P68" s="16" t="s">
        <v>337</v>
      </c>
    </row>
    <row r="69">
      <c r="A69" s="9" t="s">
        <v>338</v>
      </c>
      <c r="B69" s="16" t="s">
        <v>167</v>
      </c>
      <c r="C69" s="16">
        <v>5.623486392E9</v>
      </c>
      <c r="D69" s="16" t="s">
        <v>184</v>
      </c>
      <c r="E69" s="40" t="s">
        <v>339</v>
      </c>
      <c r="F69" s="16" t="s">
        <v>170</v>
      </c>
      <c r="G69" s="16" t="s">
        <v>171</v>
      </c>
      <c r="H69" s="16" t="s">
        <v>190</v>
      </c>
      <c r="I69" s="16">
        <v>1861.2</v>
      </c>
      <c r="N69" s="16">
        <v>1861.2</v>
      </c>
      <c r="O69" s="16" t="s">
        <v>173</v>
      </c>
      <c r="P69" s="16" t="s">
        <v>340</v>
      </c>
    </row>
    <row r="70">
      <c r="A70" s="9" t="s">
        <v>341</v>
      </c>
      <c r="B70" s="16" t="s">
        <v>167</v>
      </c>
      <c r="C70" s="16">
        <v>6.377252941E9</v>
      </c>
      <c r="D70" s="16" t="s">
        <v>184</v>
      </c>
      <c r="E70" s="40" t="s">
        <v>342</v>
      </c>
      <c r="F70" s="16" t="s">
        <v>170</v>
      </c>
      <c r="G70" s="16" t="s">
        <v>171</v>
      </c>
      <c r="H70" s="16" t="s">
        <v>172</v>
      </c>
      <c r="I70" s="16">
        <v>1800.2</v>
      </c>
      <c r="J70" s="16">
        <v>-298.96</v>
      </c>
      <c r="K70" s="16">
        <v>-24.62</v>
      </c>
      <c r="L70" s="16">
        <v>-41.6</v>
      </c>
      <c r="M70" s="16"/>
      <c r="N70" s="16">
        <v>1435.02</v>
      </c>
      <c r="O70" s="16" t="s">
        <v>173</v>
      </c>
      <c r="P70" s="16" t="s">
        <v>343</v>
      </c>
    </row>
    <row r="71">
      <c r="A71" s="9" t="s">
        <v>341</v>
      </c>
      <c r="B71" s="16" t="s">
        <v>167</v>
      </c>
      <c r="C71" s="16">
        <v>5.017847836E9</v>
      </c>
      <c r="D71" s="16" t="s">
        <v>344</v>
      </c>
      <c r="E71" s="16" t="s">
        <v>345</v>
      </c>
      <c r="F71" s="16" t="s">
        <v>170</v>
      </c>
      <c r="G71" s="16" t="s">
        <v>171</v>
      </c>
      <c r="H71" s="16" t="s">
        <v>172</v>
      </c>
      <c r="I71" s="16">
        <v>0.0</v>
      </c>
      <c r="J71" s="16">
        <v>0.21</v>
      </c>
      <c r="K71" s="16">
        <v>0.01</v>
      </c>
      <c r="L71" s="16">
        <v>-15.6</v>
      </c>
      <c r="M71" s="16"/>
      <c r="N71" s="16">
        <v>-15.38</v>
      </c>
      <c r="O71" s="16" t="s">
        <v>173</v>
      </c>
      <c r="P71" s="16" t="s">
        <v>343</v>
      </c>
    </row>
    <row r="72">
      <c r="A72" s="9" t="s">
        <v>346</v>
      </c>
      <c r="B72" s="16" t="s">
        <v>167</v>
      </c>
      <c r="C72" s="16">
        <v>6.569168545E9</v>
      </c>
      <c r="D72" s="16" t="s">
        <v>179</v>
      </c>
      <c r="E72" s="40" t="s">
        <v>347</v>
      </c>
      <c r="F72" s="16" t="s">
        <v>170</v>
      </c>
      <c r="G72" s="16" t="s">
        <v>171</v>
      </c>
      <c r="H72" s="16" t="s">
        <v>172</v>
      </c>
      <c r="I72" s="16">
        <v>2117.88</v>
      </c>
      <c r="J72" s="16">
        <v>-350.76</v>
      </c>
      <c r="K72" s="16">
        <v>-28.89</v>
      </c>
      <c r="L72" s="16">
        <v>-54.6</v>
      </c>
      <c r="M72" s="16"/>
      <c r="N72" s="16">
        <v>1683.63</v>
      </c>
      <c r="O72" s="16" t="s">
        <v>173</v>
      </c>
      <c r="P72" s="16" t="s">
        <v>348</v>
      </c>
    </row>
    <row r="73">
      <c r="A73" s="9" t="s">
        <v>346</v>
      </c>
      <c r="B73" s="16" t="s">
        <v>167</v>
      </c>
      <c r="C73" s="16">
        <v>6.144871422E9</v>
      </c>
      <c r="D73" s="16" t="s">
        <v>349</v>
      </c>
      <c r="E73" s="16" t="s">
        <v>350</v>
      </c>
      <c r="F73" s="16" t="s">
        <v>170</v>
      </c>
      <c r="G73" s="16" t="s">
        <v>171</v>
      </c>
      <c r="H73" s="16" t="s">
        <v>172</v>
      </c>
      <c r="I73" s="16">
        <v>2.6</v>
      </c>
      <c r="J73" s="16">
        <v>0.0</v>
      </c>
      <c r="K73" s="16">
        <v>0.0</v>
      </c>
      <c r="L73" s="16">
        <v>-13.0</v>
      </c>
      <c r="M73" s="16"/>
      <c r="N73" s="16">
        <v>-10.4</v>
      </c>
      <c r="O73" s="16" t="s">
        <v>173</v>
      </c>
      <c r="P73" s="16" t="s">
        <v>348</v>
      </c>
    </row>
    <row r="74">
      <c r="A74" s="9" t="s">
        <v>351</v>
      </c>
      <c r="B74" s="16" t="s">
        <v>167</v>
      </c>
      <c r="C74" s="16">
        <v>5.038915358E9</v>
      </c>
      <c r="D74" s="16" t="s">
        <v>188</v>
      </c>
      <c r="E74" s="40" t="s">
        <v>352</v>
      </c>
      <c r="F74" s="16" t="s">
        <v>170</v>
      </c>
      <c r="G74" s="16" t="s">
        <v>171</v>
      </c>
      <c r="H74" s="16" t="s">
        <v>190</v>
      </c>
      <c r="I74" s="16">
        <v>663.3</v>
      </c>
      <c r="N74" s="16">
        <v>663.3</v>
      </c>
      <c r="O74" s="16" t="s">
        <v>173</v>
      </c>
      <c r="P74" s="16" t="s">
        <v>353</v>
      </c>
    </row>
    <row r="75">
      <c r="A75" s="9" t="s">
        <v>351</v>
      </c>
      <c r="B75" s="16" t="s">
        <v>167</v>
      </c>
      <c r="C75" s="16">
        <v>6.045616336E9</v>
      </c>
      <c r="D75" s="16" t="s">
        <v>168</v>
      </c>
      <c r="E75" s="40" t="s">
        <v>354</v>
      </c>
      <c r="F75" s="16" t="s">
        <v>170</v>
      </c>
      <c r="G75" s="16" t="s">
        <v>171</v>
      </c>
      <c r="H75" s="16" t="s">
        <v>190</v>
      </c>
      <c r="I75" s="16">
        <v>673.2</v>
      </c>
      <c r="N75" s="16">
        <v>673.2</v>
      </c>
      <c r="O75" s="16" t="s">
        <v>173</v>
      </c>
      <c r="P75" s="16" t="s">
        <v>353</v>
      </c>
    </row>
    <row r="76">
      <c r="A76" s="9" t="s">
        <v>355</v>
      </c>
      <c r="B76" s="16" t="s">
        <v>167</v>
      </c>
      <c r="C76" s="16">
        <v>5.889344792E9</v>
      </c>
      <c r="D76" s="16" t="s">
        <v>184</v>
      </c>
      <c r="E76" s="40" t="s">
        <v>356</v>
      </c>
      <c r="F76" s="16" t="s">
        <v>170</v>
      </c>
      <c r="G76" s="16" t="s">
        <v>171</v>
      </c>
      <c r="H76" s="16" t="s">
        <v>190</v>
      </c>
      <c r="I76" s="16">
        <v>1166.4</v>
      </c>
      <c r="N76" s="16">
        <v>1166.4</v>
      </c>
      <c r="O76" s="16" t="s">
        <v>173</v>
      </c>
      <c r="P76" s="16" t="s">
        <v>357</v>
      </c>
    </row>
    <row r="77">
      <c r="A77" s="9" t="s">
        <v>355</v>
      </c>
      <c r="B77" s="16" t="s">
        <v>167</v>
      </c>
      <c r="C77" s="16">
        <v>6.218541384E9</v>
      </c>
      <c r="D77" s="16" t="s">
        <v>195</v>
      </c>
      <c r="E77" s="40" t="s">
        <v>358</v>
      </c>
      <c r="F77" s="16" t="s">
        <v>170</v>
      </c>
      <c r="G77" s="16" t="s">
        <v>171</v>
      </c>
      <c r="H77" s="16" t="s">
        <v>190</v>
      </c>
      <c r="I77" s="16">
        <v>987.3</v>
      </c>
      <c r="N77" s="16">
        <v>987.3</v>
      </c>
      <c r="O77" s="16" t="s">
        <v>173</v>
      </c>
      <c r="P77" s="16" t="s">
        <v>357</v>
      </c>
    </row>
    <row r="78">
      <c r="A78" s="9" t="s">
        <v>359</v>
      </c>
      <c r="B78" s="16" t="s">
        <v>167</v>
      </c>
      <c r="C78" s="16">
        <v>6.441750343E9</v>
      </c>
      <c r="D78" s="16" t="s">
        <v>360</v>
      </c>
      <c r="E78" s="40" t="s">
        <v>361</v>
      </c>
      <c r="F78" s="16" t="s">
        <v>170</v>
      </c>
      <c r="G78" s="16" t="s">
        <v>171</v>
      </c>
      <c r="H78" s="16" t="s">
        <v>172</v>
      </c>
      <c r="I78" s="16">
        <v>4600.2</v>
      </c>
      <c r="J78" s="16">
        <v>-767.45</v>
      </c>
      <c r="K78" s="16">
        <v>-63.2</v>
      </c>
      <c r="L78" s="16">
        <v>-85.8</v>
      </c>
      <c r="M78" s="16"/>
      <c r="N78" s="16">
        <v>3683.75</v>
      </c>
      <c r="O78" s="16" t="s">
        <v>173</v>
      </c>
      <c r="P78" s="16" t="s">
        <v>362</v>
      </c>
    </row>
    <row r="79">
      <c r="A79" s="9" t="s">
        <v>363</v>
      </c>
      <c r="B79" s="16" t="s">
        <v>167</v>
      </c>
      <c r="C79" s="16">
        <v>6.291125467E9</v>
      </c>
      <c r="D79" s="16" t="s">
        <v>215</v>
      </c>
      <c r="E79" s="40" t="s">
        <v>364</v>
      </c>
      <c r="F79" s="16" t="s">
        <v>170</v>
      </c>
      <c r="G79" s="16" t="s">
        <v>171</v>
      </c>
      <c r="H79" s="16" t="s">
        <v>172</v>
      </c>
      <c r="I79" s="16">
        <v>950.16</v>
      </c>
      <c r="J79" s="16">
        <v>-158.88</v>
      </c>
      <c r="K79" s="16">
        <v>-13.08</v>
      </c>
      <c r="L79" s="16">
        <v>-15.6</v>
      </c>
      <c r="M79" s="16"/>
      <c r="N79" s="16">
        <v>762.6</v>
      </c>
      <c r="O79" s="16" t="s">
        <v>173</v>
      </c>
      <c r="P79" s="16" t="s">
        <v>365</v>
      </c>
    </row>
    <row r="80">
      <c r="A80" s="9" t="s">
        <v>363</v>
      </c>
      <c r="B80" s="16" t="s">
        <v>167</v>
      </c>
      <c r="C80" s="16">
        <v>4.31233166E9</v>
      </c>
      <c r="D80" s="16" t="s">
        <v>366</v>
      </c>
      <c r="E80" s="16" t="s">
        <v>367</v>
      </c>
      <c r="F80" s="16" t="s">
        <v>170</v>
      </c>
      <c r="G80" s="16" t="s">
        <v>171</v>
      </c>
      <c r="H80" s="16" t="s">
        <v>172</v>
      </c>
      <c r="I80" s="16">
        <v>4545.22</v>
      </c>
      <c r="J80" s="16">
        <v>-772.69</v>
      </c>
      <c r="K80" s="16">
        <v>-62.61</v>
      </c>
      <c r="L80" s="16">
        <v>-72.8</v>
      </c>
      <c r="M80" s="16"/>
      <c r="N80" s="16">
        <v>3637.12</v>
      </c>
      <c r="O80" s="16" t="s">
        <v>173</v>
      </c>
      <c r="P80" s="16" t="s">
        <v>365</v>
      </c>
    </row>
    <row r="81">
      <c r="A81" s="9" t="s">
        <v>368</v>
      </c>
      <c r="B81" s="16" t="s">
        <v>167</v>
      </c>
      <c r="C81" s="16">
        <v>5.240405763E9</v>
      </c>
      <c r="D81" s="16" t="s">
        <v>188</v>
      </c>
      <c r="E81" s="40" t="s">
        <v>369</v>
      </c>
      <c r="F81" s="16" t="s">
        <v>170</v>
      </c>
      <c r="G81" s="16" t="s">
        <v>171</v>
      </c>
      <c r="H81" s="16" t="s">
        <v>172</v>
      </c>
      <c r="I81" s="16">
        <v>755.6</v>
      </c>
      <c r="J81" s="16">
        <v>-126.68</v>
      </c>
      <c r="K81" s="16">
        <v>-10.43</v>
      </c>
      <c r="L81" s="16">
        <v>-10.4</v>
      </c>
      <c r="M81" s="16"/>
      <c r="N81" s="16">
        <v>608.09</v>
      </c>
      <c r="O81" s="16" t="s">
        <v>173</v>
      </c>
      <c r="P81" s="16" t="s">
        <v>370</v>
      </c>
    </row>
    <row r="82">
      <c r="A82" s="9" t="s">
        <v>368</v>
      </c>
      <c r="B82" s="16" t="s">
        <v>167</v>
      </c>
      <c r="C82" s="16">
        <v>6.180111383E9</v>
      </c>
      <c r="D82" s="16" t="s">
        <v>371</v>
      </c>
      <c r="E82" s="16" t="s">
        <v>372</v>
      </c>
      <c r="F82" s="16" t="s">
        <v>170</v>
      </c>
      <c r="G82" s="16" t="s">
        <v>171</v>
      </c>
      <c r="H82" s="16" t="s">
        <v>172</v>
      </c>
      <c r="I82" s="16">
        <v>15.6</v>
      </c>
      <c r="J82" s="16">
        <v>0.0</v>
      </c>
      <c r="K82" s="16">
        <v>0.15</v>
      </c>
      <c r="L82" s="16">
        <v>-26.0</v>
      </c>
      <c r="M82" s="16"/>
      <c r="N82" s="16">
        <v>-10.25</v>
      </c>
      <c r="O82" s="16" t="s">
        <v>173</v>
      </c>
      <c r="P82" s="16" t="s">
        <v>370</v>
      </c>
    </row>
    <row r="83">
      <c r="A83" s="9" t="s">
        <v>373</v>
      </c>
      <c r="B83" s="16" t="s">
        <v>167</v>
      </c>
      <c r="C83" s="16">
        <v>5.024203691E9</v>
      </c>
      <c r="D83" s="16" t="s">
        <v>215</v>
      </c>
      <c r="E83" s="40" t="s">
        <v>374</v>
      </c>
      <c r="F83" s="16" t="s">
        <v>170</v>
      </c>
      <c r="G83" s="16" t="s">
        <v>171</v>
      </c>
      <c r="H83" s="16" t="s">
        <v>172</v>
      </c>
      <c r="I83" s="16">
        <v>647.9</v>
      </c>
      <c r="J83" s="16">
        <v>-105.72</v>
      </c>
      <c r="K83" s="16">
        <v>-8.71</v>
      </c>
      <c r="L83" s="16">
        <v>-26.0</v>
      </c>
      <c r="M83" s="16"/>
      <c r="N83" s="16">
        <v>507.47</v>
      </c>
      <c r="O83" s="16" t="s">
        <v>173</v>
      </c>
      <c r="P83" s="16" t="s">
        <v>375</v>
      </c>
    </row>
    <row r="84">
      <c r="A84" s="9" t="s">
        <v>373</v>
      </c>
      <c r="B84" s="16" t="s">
        <v>167</v>
      </c>
      <c r="C84" s="16">
        <v>6.551930536E9</v>
      </c>
      <c r="D84" s="16" t="s">
        <v>223</v>
      </c>
      <c r="E84" s="16" t="s">
        <v>376</v>
      </c>
      <c r="F84" s="16" t="s">
        <v>170</v>
      </c>
      <c r="G84" s="16" t="s">
        <v>171</v>
      </c>
      <c r="H84" s="16" t="s">
        <v>172</v>
      </c>
      <c r="I84" s="16">
        <v>52.0</v>
      </c>
      <c r="J84" s="16">
        <v>-4.37</v>
      </c>
      <c r="K84" s="16">
        <v>-0.36</v>
      </c>
      <c r="L84" s="16">
        <v>-52.0</v>
      </c>
      <c r="M84" s="16"/>
      <c r="N84" s="16">
        <v>-4.73</v>
      </c>
      <c r="O84" s="16" t="s">
        <v>173</v>
      </c>
      <c r="P84" s="16" t="s">
        <v>375</v>
      </c>
    </row>
    <row r="85">
      <c r="A85" s="43"/>
      <c r="D85" s="44"/>
    </row>
    <row r="86">
      <c r="A86" s="43"/>
      <c r="D86" s="44"/>
    </row>
    <row r="87">
      <c r="A87" s="43"/>
      <c r="D87" s="44"/>
    </row>
    <row r="88">
      <c r="A88" s="43"/>
      <c r="D88" s="44"/>
    </row>
    <row r="89">
      <c r="A89" s="43"/>
      <c r="D89" s="44"/>
    </row>
    <row r="90">
      <c r="A90" s="43"/>
      <c r="D90" s="44"/>
    </row>
    <row r="91">
      <c r="A91" s="43"/>
      <c r="D91" s="44"/>
    </row>
    <row r="92">
      <c r="A92" s="43"/>
      <c r="D92" s="44"/>
    </row>
    <row r="93">
      <c r="A93" s="43"/>
      <c r="D93" s="44"/>
    </row>
    <row r="94">
      <c r="A94" s="43"/>
      <c r="D94" s="44"/>
    </row>
    <row r="95">
      <c r="A95" s="43"/>
      <c r="D95" s="44"/>
    </row>
    <row r="96">
      <c r="A96" s="43"/>
      <c r="D96" s="44"/>
    </row>
    <row r="97">
      <c r="A97" s="43"/>
      <c r="D97" s="44"/>
    </row>
    <row r="98">
      <c r="A98" s="43"/>
      <c r="D98" s="44"/>
    </row>
    <row r="99">
      <c r="A99" s="43"/>
      <c r="D99" s="44"/>
    </row>
    <row r="100">
      <c r="A100" s="43"/>
      <c r="D100" s="44"/>
    </row>
    <row r="101">
      <c r="A101" s="43"/>
      <c r="D101" s="44"/>
    </row>
    <row r="102">
      <c r="A102" s="43"/>
      <c r="D102" s="44"/>
    </row>
    <row r="103">
      <c r="A103" s="43"/>
      <c r="D103" s="44"/>
    </row>
    <row r="104">
      <c r="A104" s="43"/>
      <c r="D104" s="44"/>
    </row>
    <row r="105">
      <c r="A105" s="43"/>
      <c r="D105" s="44"/>
    </row>
    <row r="106">
      <c r="A106" s="43"/>
      <c r="D106" s="44"/>
    </row>
    <row r="107">
      <c r="A107" s="43"/>
      <c r="D107" s="44"/>
    </row>
    <row r="108">
      <c r="A108" s="43"/>
      <c r="D108" s="44"/>
    </row>
    <row r="109">
      <c r="A109" s="43"/>
      <c r="D109" s="44"/>
    </row>
    <row r="110">
      <c r="A110" s="43"/>
      <c r="D110" s="44"/>
    </row>
    <row r="111">
      <c r="A111" s="43"/>
      <c r="D111" s="44"/>
    </row>
    <row r="112">
      <c r="A112" s="43"/>
      <c r="D112" s="44"/>
    </row>
    <row r="113">
      <c r="A113" s="43"/>
      <c r="D113" s="44"/>
    </row>
    <row r="114">
      <c r="A114" s="43"/>
      <c r="D114" s="44"/>
    </row>
    <row r="115">
      <c r="A115" s="43"/>
      <c r="D115" s="44"/>
    </row>
    <row r="116">
      <c r="A116" s="43"/>
      <c r="D116" s="44"/>
    </row>
    <row r="117">
      <c r="A117" s="43"/>
      <c r="D117" s="44"/>
    </row>
    <row r="118">
      <c r="A118" s="43"/>
      <c r="D118" s="44"/>
    </row>
    <row r="119">
      <c r="A119" s="43"/>
      <c r="D119" s="44"/>
    </row>
    <row r="120">
      <c r="A120" s="43"/>
      <c r="D120" s="44"/>
    </row>
    <row r="121">
      <c r="A121" s="43"/>
      <c r="D121" s="44"/>
    </row>
    <row r="122">
      <c r="A122" s="43"/>
      <c r="D122" s="44"/>
    </row>
    <row r="123">
      <c r="A123" s="43"/>
      <c r="D123" s="44"/>
    </row>
    <row r="124">
      <c r="A124" s="43"/>
      <c r="D124" s="44"/>
    </row>
    <row r="125">
      <c r="A125" s="43"/>
      <c r="D125" s="44"/>
    </row>
    <row r="126">
      <c r="A126" s="43"/>
      <c r="D126" s="44"/>
    </row>
    <row r="127">
      <c r="A127" s="43"/>
      <c r="D127" s="44"/>
    </row>
    <row r="128">
      <c r="A128" s="43"/>
      <c r="D128" s="44"/>
    </row>
    <row r="129">
      <c r="A129" s="43"/>
      <c r="D129" s="44"/>
    </row>
    <row r="130">
      <c r="A130" s="43"/>
      <c r="D130" s="44"/>
    </row>
    <row r="131">
      <c r="A131" s="43"/>
      <c r="D131" s="44"/>
    </row>
    <row r="132">
      <c r="A132" s="43"/>
      <c r="D132" s="44"/>
    </row>
    <row r="133">
      <c r="A133" s="43"/>
      <c r="D133" s="44"/>
    </row>
    <row r="134">
      <c r="A134" s="43"/>
      <c r="D134" s="44"/>
    </row>
    <row r="135">
      <c r="A135" s="43"/>
      <c r="D135" s="44"/>
    </row>
    <row r="136">
      <c r="A136" s="43"/>
      <c r="D136" s="44"/>
    </row>
    <row r="137">
      <c r="A137" s="43"/>
      <c r="D137" s="44"/>
    </row>
    <row r="138">
      <c r="A138" s="43"/>
      <c r="D138" s="44"/>
    </row>
    <row r="139">
      <c r="A139" s="43"/>
      <c r="D139" s="44"/>
    </row>
    <row r="140">
      <c r="A140" s="43"/>
      <c r="D140" s="44"/>
    </row>
    <row r="141">
      <c r="A141" s="43"/>
      <c r="D141" s="44"/>
    </row>
    <row r="142">
      <c r="A142" s="43"/>
      <c r="D142" s="44"/>
    </row>
    <row r="143">
      <c r="A143" s="43"/>
      <c r="D143" s="44"/>
    </row>
    <row r="144">
      <c r="A144" s="43"/>
      <c r="D144" s="44"/>
    </row>
    <row r="145">
      <c r="A145" s="43"/>
      <c r="D145" s="44"/>
    </row>
    <row r="146">
      <c r="A146" s="43"/>
      <c r="D146" s="44"/>
    </row>
    <row r="147">
      <c r="A147" s="43"/>
      <c r="D147" s="44"/>
    </row>
    <row r="148">
      <c r="A148" s="43"/>
      <c r="D148" s="44"/>
    </row>
    <row r="149">
      <c r="A149" s="43"/>
      <c r="D149" s="44"/>
    </row>
    <row r="150">
      <c r="A150" s="43"/>
      <c r="D150" s="44"/>
    </row>
    <row r="151">
      <c r="A151" s="43"/>
      <c r="D151" s="44"/>
    </row>
    <row r="152">
      <c r="A152" s="43"/>
      <c r="D152" s="44"/>
    </row>
    <row r="153">
      <c r="A153" s="43"/>
      <c r="D153" s="44"/>
    </row>
    <row r="154">
      <c r="A154" s="43"/>
      <c r="D154" s="44"/>
    </row>
    <row r="155">
      <c r="A155" s="43"/>
      <c r="D155" s="44"/>
    </row>
    <row r="156">
      <c r="A156" s="43"/>
      <c r="D156" s="44"/>
    </row>
    <row r="157">
      <c r="A157" s="43"/>
      <c r="D157" s="44"/>
    </row>
    <row r="158">
      <c r="A158" s="43"/>
      <c r="D158" s="44"/>
    </row>
    <row r="159">
      <c r="A159" s="43"/>
      <c r="D159" s="44"/>
    </row>
    <row r="160">
      <c r="A160" s="43"/>
      <c r="D160" s="44"/>
    </row>
    <row r="161">
      <c r="A161" s="43"/>
      <c r="D161" s="44"/>
    </row>
    <row r="162">
      <c r="A162" s="43"/>
      <c r="D162" s="44"/>
    </row>
    <row r="163">
      <c r="A163" s="43"/>
      <c r="D163" s="44"/>
    </row>
    <row r="164">
      <c r="A164" s="43"/>
      <c r="D164" s="44"/>
    </row>
    <row r="165">
      <c r="A165" s="43"/>
      <c r="D165" s="44"/>
    </row>
    <row r="166">
      <c r="A166" s="43"/>
      <c r="D166" s="44"/>
    </row>
    <row r="167">
      <c r="A167" s="43"/>
      <c r="D167" s="44"/>
    </row>
    <row r="168">
      <c r="A168" s="43"/>
      <c r="D168" s="44"/>
    </row>
    <row r="169">
      <c r="A169" s="43"/>
      <c r="D169" s="44"/>
    </row>
    <row r="170">
      <c r="A170" s="43"/>
      <c r="D170" s="44"/>
    </row>
    <row r="171">
      <c r="A171" s="43"/>
      <c r="D171" s="44"/>
    </row>
    <row r="172">
      <c r="A172" s="43"/>
      <c r="D172" s="44"/>
    </row>
    <row r="173">
      <c r="A173" s="43"/>
      <c r="D173" s="44"/>
    </row>
    <row r="174">
      <c r="A174" s="43"/>
      <c r="D174" s="44"/>
    </row>
    <row r="175">
      <c r="A175" s="43"/>
      <c r="D175" s="44"/>
    </row>
    <row r="176">
      <c r="A176" s="43"/>
      <c r="D176" s="44"/>
    </row>
    <row r="177">
      <c r="A177" s="43"/>
      <c r="D177" s="44"/>
    </row>
    <row r="178">
      <c r="A178" s="43"/>
      <c r="D178" s="44"/>
    </row>
    <row r="179">
      <c r="A179" s="43"/>
      <c r="D179" s="44"/>
    </row>
    <row r="180">
      <c r="A180" s="43"/>
      <c r="D180" s="44"/>
    </row>
    <row r="181">
      <c r="A181" s="43"/>
      <c r="D181" s="44"/>
    </row>
    <row r="182">
      <c r="A182" s="43"/>
      <c r="D182" s="44"/>
    </row>
    <row r="183">
      <c r="A183" s="43"/>
      <c r="D183" s="44"/>
    </row>
    <row r="184">
      <c r="A184" s="43"/>
      <c r="D184" s="44"/>
    </row>
    <row r="185">
      <c r="A185" s="43"/>
      <c r="D185" s="44"/>
    </row>
    <row r="186">
      <c r="A186" s="43"/>
      <c r="D186" s="44"/>
    </row>
    <row r="187">
      <c r="A187" s="43"/>
      <c r="D187" s="44"/>
    </row>
    <row r="188">
      <c r="A188" s="43"/>
      <c r="D188" s="44"/>
    </row>
    <row r="189">
      <c r="A189" s="43"/>
      <c r="D189" s="44"/>
    </row>
    <row r="190">
      <c r="A190" s="43"/>
      <c r="D190" s="44"/>
    </row>
    <row r="191">
      <c r="A191" s="43"/>
      <c r="D191" s="44"/>
    </row>
    <row r="192">
      <c r="A192" s="43"/>
      <c r="D192" s="44"/>
    </row>
    <row r="193">
      <c r="A193" s="43"/>
      <c r="D193" s="44"/>
    </row>
    <row r="194">
      <c r="A194" s="43"/>
      <c r="D194" s="44"/>
    </row>
    <row r="195">
      <c r="A195" s="43"/>
      <c r="D195" s="44"/>
    </row>
    <row r="196">
      <c r="A196" s="43"/>
      <c r="D196" s="44"/>
    </row>
    <row r="197">
      <c r="A197" s="43"/>
      <c r="D197" s="44"/>
    </row>
    <row r="198">
      <c r="A198" s="43"/>
      <c r="D198" s="44"/>
    </row>
    <row r="199">
      <c r="A199" s="43"/>
      <c r="D199" s="44"/>
    </row>
    <row r="200">
      <c r="A200" s="43"/>
      <c r="D200" s="44"/>
    </row>
    <row r="201">
      <c r="A201" s="43"/>
      <c r="D201" s="44"/>
    </row>
    <row r="202">
      <c r="A202" s="43"/>
      <c r="D202" s="44"/>
    </row>
    <row r="203">
      <c r="A203" s="43"/>
      <c r="D203" s="44"/>
    </row>
    <row r="204">
      <c r="A204" s="43"/>
      <c r="D204" s="44"/>
    </row>
    <row r="205">
      <c r="A205" s="43"/>
      <c r="D205" s="44"/>
    </row>
    <row r="206">
      <c r="A206" s="43"/>
      <c r="D206" s="44"/>
    </row>
    <row r="207">
      <c r="A207" s="43"/>
      <c r="D207" s="44"/>
    </row>
    <row r="208">
      <c r="A208" s="43"/>
      <c r="D208" s="44"/>
    </row>
    <row r="209">
      <c r="A209" s="43"/>
      <c r="D209" s="44"/>
    </row>
    <row r="210">
      <c r="A210" s="43"/>
      <c r="D210" s="44"/>
    </row>
    <row r="211">
      <c r="A211" s="43"/>
      <c r="D211" s="44"/>
    </row>
    <row r="212">
      <c r="A212" s="43"/>
      <c r="D212" s="44"/>
    </row>
    <row r="213">
      <c r="A213" s="43"/>
      <c r="D213" s="44"/>
    </row>
    <row r="214">
      <c r="A214" s="43"/>
      <c r="D214" s="44"/>
    </row>
    <row r="215">
      <c r="A215" s="43"/>
      <c r="D215" s="44"/>
    </row>
    <row r="216">
      <c r="A216" s="43"/>
      <c r="D216" s="44"/>
    </row>
    <row r="217">
      <c r="A217" s="43"/>
      <c r="D217" s="44"/>
    </row>
    <row r="218">
      <c r="A218" s="43"/>
      <c r="D218" s="44"/>
    </row>
    <row r="219">
      <c r="A219" s="43"/>
      <c r="D219" s="44"/>
    </row>
    <row r="220">
      <c r="A220" s="43"/>
      <c r="D220" s="44"/>
    </row>
    <row r="221">
      <c r="A221" s="43"/>
      <c r="D221" s="44"/>
    </row>
    <row r="222">
      <c r="A222" s="43"/>
      <c r="D222" s="44"/>
    </row>
    <row r="223">
      <c r="A223" s="43"/>
      <c r="D223" s="44"/>
    </row>
    <row r="224">
      <c r="A224" s="43"/>
      <c r="D224" s="44"/>
    </row>
    <row r="225">
      <c r="A225" s="43"/>
      <c r="D225" s="44"/>
    </row>
    <row r="226">
      <c r="A226" s="43"/>
      <c r="D226" s="44"/>
    </row>
    <row r="227">
      <c r="A227" s="43"/>
      <c r="D227" s="44"/>
    </row>
    <row r="228">
      <c r="A228" s="43"/>
      <c r="D228" s="44"/>
    </row>
    <row r="229">
      <c r="A229" s="43"/>
      <c r="D229" s="44"/>
    </row>
    <row r="230">
      <c r="A230" s="43"/>
      <c r="D230" s="44"/>
    </row>
    <row r="231">
      <c r="A231" s="43"/>
      <c r="D231" s="44"/>
    </row>
    <row r="232">
      <c r="A232" s="43"/>
      <c r="D232" s="44"/>
    </row>
    <row r="233">
      <c r="A233" s="43"/>
      <c r="D233" s="44"/>
    </row>
    <row r="234">
      <c r="A234" s="43"/>
      <c r="D234" s="44"/>
    </row>
    <row r="235">
      <c r="A235" s="43"/>
      <c r="D235" s="44"/>
    </row>
    <row r="236">
      <c r="A236" s="43"/>
      <c r="D236" s="44"/>
    </row>
    <row r="237">
      <c r="A237" s="43"/>
      <c r="D237" s="44"/>
    </row>
    <row r="238">
      <c r="A238" s="43"/>
      <c r="D238" s="44"/>
    </row>
    <row r="239">
      <c r="A239" s="43"/>
      <c r="D239" s="44"/>
    </row>
    <row r="240">
      <c r="A240" s="43"/>
      <c r="D240" s="44"/>
    </row>
    <row r="241">
      <c r="A241" s="43"/>
      <c r="D241" s="44"/>
    </row>
    <row r="242">
      <c r="A242" s="43"/>
      <c r="D242" s="44"/>
    </row>
    <row r="243">
      <c r="A243" s="43"/>
      <c r="D243" s="44"/>
    </row>
    <row r="244">
      <c r="A244" s="43"/>
      <c r="D244" s="44"/>
    </row>
    <row r="245">
      <c r="A245" s="43"/>
      <c r="D245" s="44"/>
    </row>
    <row r="246">
      <c r="A246" s="43"/>
      <c r="D246" s="44"/>
    </row>
    <row r="247">
      <c r="A247" s="43"/>
      <c r="D247" s="44"/>
    </row>
    <row r="248">
      <c r="A248" s="43"/>
      <c r="D248" s="44"/>
    </row>
    <row r="249">
      <c r="A249" s="43"/>
      <c r="D249" s="44"/>
    </row>
    <row r="250">
      <c r="A250" s="43"/>
      <c r="D250" s="44"/>
    </row>
    <row r="251">
      <c r="A251" s="43"/>
      <c r="D251" s="44"/>
    </row>
    <row r="252">
      <c r="A252" s="43"/>
      <c r="D252" s="44"/>
    </row>
    <row r="253">
      <c r="A253" s="43"/>
      <c r="D253" s="44"/>
    </row>
    <row r="254">
      <c r="A254" s="43"/>
      <c r="D254" s="44"/>
    </row>
    <row r="255">
      <c r="A255" s="43"/>
      <c r="D255" s="44"/>
    </row>
    <row r="256">
      <c r="A256" s="43"/>
      <c r="D256" s="44"/>
    </row>
    <row r="257">
      <c r="A257" s="43"/>
      <c r="D257" s="44"/>
    </row>
    <row r="258">
      <c r="A258" s="43"/>
      <c r="D258" s="44"/>
    </row>
    <row r="259">
      <c r="A259" s="43"/>
      <c r="D259" s="44"/>
    </row>
    <row r="260">
      <c r="A260" s="43"/>
      <c r="D260" s="44"/>
    </row>
    <row r="261">
      <c r="A261" s="43"/>
      <c r="D261" s="44"/>
    </row>
    <row r="262">
      <c r="A262" s="43"/>
      <c r="D262" s="44"/>
    </row>
    <row r="263">
      <c r="A263" s="43"/>
      <c r="D263" s="44"/>
    </row>
    <row r="264">
      <c r="A264" s="43"/>
      <c r="D264" s="44"/>
    </row>
    <row r="265">
      <c r="A265" s="43"/>
      <c r="D265" s="44"/>
    </row>
    <row r="266">
      <c r="A266" s="43"/>
      <c r="D266" s="44"/>
    </row>
    <row r="267">
      <c r="A267" s="43"/>
      <c r="D267" s="44"/>
    </row>
    <row r="268">
      <c r="A268" s="43"/>
      <c r="D268" s="44"/>
    </row>
    <row r="269">
      <c r="A269" s="43"/>
      <c r="D269" s="44"/>
    </row>
    <row r="270">
      <c r="A270" s="43"/>
      <c r="D270" s="44"/>
    </row>
    <row r="271">
      <c r="A271" s="43"/>
      <c r="D271" s="44"/>
    </row>
    <row r="272">
      <c r="A272" s="43"/>
      <c r="D272" s="44"/>
    </row>
    <row r="273">
      <c r="A273" s="43"/>
      <c r="D273" s="44"/>
    </row>
    <row r="274">
      <c r="A274" s="43"/>
      <c r="D274" s="44"/>
    </row>
    <row r="275">
      <c r="A275" s="43"/>
      <c r="D275" s="44"/>
    </row>
    <row r="276">
      <c r="A276" s="43"/>
      <c r="D276" s="44"/>
    </row>
    <row r="277">
      <c r="A277" s="43"/>
      <c r="D277" s="44"/>
    </row>
    <row r="278">
      <c r="A278" s="43"/>
      <c r="D278" s="44"/>
    </row>
    <row r="279">
      <c r="A279" s="43"/>
      <c r="D279" s="44"/>
    </row>
    <row r="280">
      <c r="A280" s="43"/>
      <c r="D280" s="44"/>
    </row>
    <row r="281">
      <c r="A281" s="43"/>
      <c r="D281" s="44"/>
    </row>
    <row r="282">
      <c r="A282" s="43"/>
      <c r="D282" s="44"/>
    </row>
    <row r="283">
      <c r="A283" s="43"/>
      <c r="D283" s="44"/>
    </row>
    <row r="284">
      <c r="A284" s="43"/>
      <c r="D284" s="44"/>
    </row>
    <row r="285">
      <c r="A285" s="43"/>
      <c r="D285" s="44"/>
    </row>
    <row r="286">
      <c r="A286" s="43"/>
      <c r="D286" s="44"/>
    </row>
    <row r="287">
      <c r="A287" s="43"/>
      <c r="D287" s="44"/>
    </row>
    <row r="288">
      <c r="A288" s="43"/>
      <c r="D288" s="44"/>
    </row>
    <row r="289">
      <c r="A289" s="43"/>
      <c r="D289" s="44"/>
    </row>
    <row r="290">
      <c r="A290" s="43"/>
      <c r="D290" s="44"/>
    </row>
    <row r="291">
      <c r="A291" s="43"/>
      <c r="D291" s="44"/>
    </row>
    <row r="292">
      <c r="A292" s="43"/>
      <c r="D292" s="44"/>
    </row>
    <row r="293">
      <c r="A293" s="43"/>
      <c r="D293" s="44"/>
    </row>
    <row r="294">
      <c r="A294" s="43"/>
      <c r="D294" s="44"/>
    </row>
    <row r="295">
      <c r="A295" s="43"/>
      <c r="D295" s="44"/>
    </row>
    <row r="296">
      <c r="A296" s="43"/>
      <c r="D296" s="44"/>
    </row>
    <row r="297">
      <c r="A297" s="43"/>
      <c r="D297" s="44"/>
    </row>
    <row r="298">
      <c r="A298" s="43"/>
      <c r="D298" s="44"/>
    </row>
    <row r="299">
      <c r="A299" s="43"/>
      <c r="D299" s="44"/>
    </row>
    <row r="300">
      <c r="A300" s="43"/>
      <c r="D300" s="44"/>
    </row>
    <row r="301">
      <c r="A301" s="43"/>
      <c r="D301" s="44"/>
    </row>
    <row r="302">
      <c r="A302" s="43"/>
      <c r="D302" s="44"/>
    </row>
    <row r="303">
      <c r="A303" s="43"/>
      <c r="D303" s="44"/>
    </row>
    <row r="304">
      <c r="A304" s="43"/>
      <c r="D304" s="44"/>
    </row>
    <row r="305">
      <c r="A305" s="43"/>
      <c r="D305" s="44"/>
    </row>
    <row r="306">
      <c r="A306" s="43"/>
      <c r="D306" s="44"/>
    </row>
    <row r="307">
      <c r="A307" s="43"/>
      <c r="D307" s="44"/>
    </row>
    <row r="308">
      <c r="A308" s="43"/>
      <c r="D308" s="44"/>
    </row>
    <row r="309">
      <c r="A309" s="43"/>
      <c r="D309" s="44"/>
    </row>
    <row r="310">
      <c r="A310" s="43"/>
      <c r="D310" s="44"/>
    </row>
    <row r="311">
      <c r="A311" s="43"/>
      <c r="D311" s="44"/>
    </row>
    <row r="312">
      <c r="A312" s="43"/>
      <c r="D312" s="44"/>
    </row>
    <row r="313">
      <c r="A313" s="43"/>
      <c r="D313" s="44"/>
    </row>
    <row r="314">
      <c r="A314" s="43"/>
      <c r="D314" s="44"/>
    </row>
    <row r="315">
      <c r="A315" s="43"/>
      <c r="D315" s="44"/>
    </row>
    <row r="316">
      <c r="A316" s="43"/>
      <c r="D316" s="44"/>
    </row>
    <row r="317">
      <c r="A317" s="43"/>
      <c r="D317" s="44"/>
    </row>
    <row r="318">
      <c r="A318" s="43"/>
      <c r="D318" s="44"/>
    </row>
    <row r="319">
      <c r="A319" s="43"/>
      <c r="D319" s="44"/>
    </row>
    <row r="320">
      <c r="A320" s="43"/>
      <c r="D320" s="44"/>
    </row>
    <row r="321">
      <c r="A321" s="43"/>
      <c r="D321" s="44"/>
    </row>
    <row r="322">
      <c r="A322" s="43"/>
      <c r="D322" s="44"/>
    </row>
    <row r="323">
      <c r="A323" s="43"/>
      <c r="D323" s="44"/>
    </row>
    <row r="324">
      <c r="A324" s="43"/>
      <c r="D324" s="44"/>
    </row>
    <row r="325">
      <c r="A325" s="43"/>
      <c r="D325" s="44"/>
    </row>
    <row r="326">
      <c r="A326" s="43"/>
      <c r="D326" s="44"/>
    </row>
    <row r="327">
      <c r="A327" s="43"/>
      <c r="D327" s="44"/>
    </row>
    <row r="328">
      <c r="A328" s="43"/>
      <c r="D328" s="44"/>
    </row>
    <row r="329">
      <c r="A329" s="43"/>
      <c r="D329" s="44"/>
    </row>
    <row r="330">
      <c r="A330" s="43"/>
      <c r="D330" s="44"/>
    </row>
    <row r="331">
      <c r="A331" s="43"/>
      <c r="D331" s="44"/>
    </row>
    <row r="332">
      <c r="A332" s="43"/>
      <c r="D332" s="44"/>
    </row>
    <row r="333">
      <c r="A333" s="43"/>
      <c r="D333" s="44"/>
    </row>
    <row r="334">
      <c r="A334" s="43"/>
      <c r="D334" s="44"/>
    </row>
    <row r="335">
      <c r="A335" s="43"/>
      <c r="D335" s="44"/>
    </row>
    <row r="336">
      <c r="A336" s="43"/>
      <c r="D336" s="44"/>
    </row>
    <row r="337">
      <c r="A337" s="43"/>
      <c r="D337" s="44"/>
    </row>
    <row r="338">
      <c r="A338" s="43"/>
      <c r="D338" s="44"/>
    </row>
    <row r="339">
      <c r="A339" s="43"/>
      <c r="D339" s="44"/>
    </row>
    <row r="340">
      <c r="A340" s="43"/>
      <c r="D340" s="44"/>
    </row>
    <row r="341">
      <c r="A341" s="43"/>
      <c r="D341" s="44"/>
    </row>
    <row r="342">
      <c r="A342" s="43"/>
      <c r="D342" s="44"/>
    </row>
    <row r="343">
      <c r="A343" s="43"/>
      <c r="D343" s="44"/>
    </row>
    <row r="344">
      <c r="A344" s="43"/>
      <c r="D344" s="44"/>
    </row>
    <row r="345">
      <c r="A345" s="43"/>
      <c r="D345" s="44"/>
    </row>
    <row r="346">
      <c r="A346" s="43"/>
      <c r="D346" s="44"/>
    </row>
    <row r="347">
      <c r="A347" s="43"/>
      <c r="D347" s="44"/>
    </row>
    <row r="348">
      <c r="A348" s="43"/>
      <c r="D348" s="44"/>
    </row>
    <row r="349">
      <c r="A349" s="43"/>
      <c r="D349" s="44"/>
    </row>
    <row r="350">
      <c r="A350" s="43"/>
      <c r="D350" s="44"/>
    </row>
    <row r="351">
      <c r="A351" s="43"/>
      <c r="D351" s="44"/>
    </row>
    <row r="352">
      <c r="A352" s="43"/>
      <c r="D352" s="44"/>
    </row>
    <row r="353">
      <c r="A353" s="43"/>
      <c r="D353" s="44"/>
    </row>
    <row r="354">
      <c r="A354" s="43"/>
      <c r="D354" s="44"/>
    </row>
    <row r="355">
      <c r="A355" s="43"/>
      <c r="D355" s="44"/>
    </row>
    <row r="356">
      <c r="A356" s="43"/>
      <c r="D356" s="44"/>
    </row>
    <row r="357">
      <c r="A357" s="43"/>
      <c r="D357" s="44"/>
    </row>
    <row r="358">
      <c r="A358" s="43"/>
      <c r="D358" s="44"/>
    </row>
    <row r="359">
      <c r="A359" s="43"/>
      <c r="D359" s="44"/>
    </row>
    <row r="360">
      <c r="A360" s="43"/>
      <c r="D360" s="44"/>
    </row>
    <row r="361">
      <c r="A361" s="43"/>
      <c r="D361" s="44"/>
    </row>
    <row r="362">
      <c r="A362" s="43"/>
      <c r="D362" s="44"/>
    </row>
    <row r="363">
      <c r="A363" s="43"/>
      <c r="D363" s="44"/>
    </row>
    <row r="364">
      <c r="A364" s="43"/>
      <c r="D364" s="44"/>
    </row>
    <row r="365">
      <c r="A365" s="43"/>
      <c r="D365" s="44"/>
    </row>
    <row r="366">
      <c r="A366" s="43"/>
      <c r="D366" s="44"/>
    </row>
    <row r="367">
      <c r="A367" s="43"/>
      <c r="D367" s="44"/>
    </row>
    <row r="368">
      <c r="A368" s="43"/>
      <c r="D368" s="44"/>
    </row>
    <row r="369">
      <c r="A369" s="43"/>
      <c r="D369" s="44"/>
    </row>
    <row r="370">
      <c r="A370" s="43"/>
      <c r="D370" s="44"/>
    </row>
    <row r="371">
      <c r="A371" s="43"/>
      <c r="D371" s="44"/>
    </row>
    <row r="372">
      <c r="A372" s="43"/>
      <c r="D372" s="44"/>
    </row>
    <row r="373">
      <c r="A373" s="43"/>
      <c r="D373" s="44"/>
    </row>
    <row r="374">
      <c r="A374" s="43"/>
      <c r="D374" s="44"/>
    </row>
    <row r="375">
      <c r="A375" s="43"/>
      <c r="D375" s="44"/>
    </row>
    <row r="376">
      <c r="A376" s="43"/>
      <c r="D376" s="44"/>
    </row>
    <row r="377">
      <c r="A377" s="43"/>
      <c r="D377" s="44"/>
    </row>
    <row r="378">
      <c r="A378" s="43"/>
      <c r="D378" s="44"/>
    </row>
    <row r="379">
      <c r="A379" s="43"/>
      <c r="D379" s="44"/>
    </row>
    <row r="380">
      <c r="A380" s="43"/>
      <c r="D380" s="44"/>
    </row>
    <row r="381">
      <c r="A381" s="43"/>
      <c r="D381" s="44"/>
    </row>
    <row r="382">
      <c r="A382" s="43"/>
      <c r="D382" s="44"/>
    </row>
    <row r="383">
      <c r="A383" s="43"/>
      <c r="D383" s="44"/>
    </row>
    <row r="384">
      <c r="A384" s="43"/>
      <c r="D384" s="44"/>
    </row>
    <row r="385">
      <c r="A385" s="43"/>
      <c r="D385" s="44"/>
    </row>
    <row r="386">
      <c r="A386" s="43"/>
      <c r="D386" s="44"/>
    </row>
    <row r="387">
      <c r="A387" s="43"/>
      <c r="D387" s="44"/>
    </row>
    <row r="388">
      <c r="A388" s="43"/>
      <c r="D388" s="44"/>
    </row>
    <row r="389">
      <c r="A389" s="43"/>
      <c r="D389" s="44"/>
    </row>
    <row r="390">
      <c r="A390" s="43"/>
      <c r="D390" s="44"/>
    </row>
    <row r="391">
      <c r="A391" s="43"/>
      <c r="D391" s="44"/>
    </row>
    <row r="392">
      <c r="A392" s="43"/>
      <c r="D392" s="44"/>
    </row>
    <row r="393">
      <c r="A393" s="43"/>
      <c r="D393" s="44"/>
    </row>
    <row r="394">
      <c r="A394" s="43"/>
      <c r="D394" s="44"/>
    </row>
    <row r="395">
      <c r="A395" s="43"/>
      <c r="D395" s="44"/>
    </row>
    <row r="396">
      <c r="A396" s="43"/>
      <c r="D396" s="44"/>
    </row>
    <row r="397">
      <c r="A397" s="43"/>
      <c r="D397" s="44"/>
    </row>
    <row r="398">
      <c r="A398" s="43"/>
      <c r="D398" s="44"/>
    </row>
    <row r="399">
      <c r="A399" s="43"/>
      <c r="D399" s="44"/>
    </row>
    <row r="400">
      <c r="A400" s="43"/>
      <c r="D400" s="44"/>
    </row>
    <row r="401">
      <c r="A401" s="43"/>
      <c r="D401" s="44"/>
    </row>
    <row r="402">
      <c r="A402" s="43"/>
      <c r="D402" s="44"/>
    </row>
    <row r="403">
      <c r="A403" s="43"/>
      <c r="D403" s="44"/>
    </row>
    <row r="404">
      <c r="A404" s="43"/>
      <c r="D404" s="44"/>
    </row>
    <row r="405">
      <c r="A405" s="43"/>
      <c r="D405" s="44"/>
    </row>
    <row r="406">
      <c r="A406" s="43"/>
      <c r="D406" s="44"/>
    </row>
    <row r="407">
      <c r="A407" s="43"/>
      <c r="D407" s="44"/>
    </row>
    <row r="408">
      <c r="A408" s="43"/>
      <c r="D408" s="44"/>
    </row>
    <row r="409">
      <c r="A409" s="43"/>
      <c r="D409" s="44"/>
    </row>
    <row r="410">
      <c r="A410" s="43"/>
      <c r="D410" s="44"/>
    </row>
    <row r="411">
      <c r="A411" s="43"/>
      <c r="D411" s="44"/>
    </row>
    <row r="412">
      <c r="A412" s="43"/>
      <c r="D412" s="44"/>
    </row>
    <row r="413">
      <c r="A413" s="43"/>
      <c r="D413" s="44"/>
    </row>
    <row r="414">
      <c r="A414" s="43"/>
      <c r="D414" s="44"/>
    </row>
    <row r="415">
      <c r="A415" s="43"/>
      <c r="D415" s="44"/>
    </row>
    <row r="416">
      <c r="A416" s="43"/>
      <c r="D416" s="44"/>
    </row>
    <row r="417">
      <c r="A417" s="43"/>
      <c r="D417" s="44"/>
    </row>
    <row r="418">
      <c r="A418" s="43"/>
      <c r="D418" s="44"/>
    </row>
    <row r="419">
      <c r="A419" s="43"/>
      <c r="D419" s="44"/>
    </row>
    <row r="420">
      <c r="A420" s="43"/>
      <c r="D420" s="44"/>
    </row>
    <row r="421">
      <c r="A421" s="43"/>
      <c r="D421" s="44"/>
    </row>
    <row r="422">
      <c r="A422" s="43"/>
      <c r="D422" s="44"/>
    </row>
    <row r="423">
      <c r="A423" s="43"/>
      <c r="D423" s="44"/>
    </row>
    <row r="424">
      <c r="A424" s="43"/>
      <c r="D424" s="44"/>
    </row>
    <row r="425">
      <c r="A425" s="43"/>
      <c r="D425" s="44"/>
    </row>
    <row r="426">
      <c r="A426" s="43"/>
      <c r="D426" s="44"/>
    </row>
    <row r="427">
      <c r="A427" s="43"/>
      <c r="D427" s="44"/>
    </row>
    <row r="428">
      <c r="A428" s="43"/>
      <c r="D428" s="44"/>
    </row>
    <row r="429">
      <c r="A429" s="43"/>
      <c r="D429" s="44"/>
    </row>
    <row r="430">
      <c r="A430" s="43"/>
      <c r="D430" s="44"/>
    </row>
    <row r="431">
      <c r="A431" s="43"/>
      <c r="D431" s="44"/>
    </row>
    <row r="432">
      <c r="A432" s="43"/>
      <c r="D432" s="44"/>
    </row>
    <row r="433">
      <c r="A433" s="43"/>
      <c r="D433" s="44"/>
    </row>
    <row r="434">
      <c r="A434" s="43"/>
      <c r="D434" s="44"/>
    </row>
    <row r="435">
      <c r="A435" s="43"/>
      <c r="D435" s="44"/>
    </row>
    <row r="436">
      <c r="A436" s="43"/>
      <c r="D436" s="44"/>
    </row>
    <row r="437">
      <c r="A437" s="43"/>
      <c r="D437" s="44"/>
    </row>
    <row r="438">
      <c r="A438" s="43"/>
      <c r="D438" s="44"/>
    </row>
    <row r="439">
      <c r="A439" s="43"/>
      <c r="D439" s="44"/>
    </row>
    <row r="440">
      <c r="A440" s="43"/>
      <c r="D440" s="44"/>
    </row>
    <row r="441">
      <c r="A441" s="43"/>
      <c r="D441" s="44"/>
    </row>
    <row r="442">
      <c r="A442" s="43"/>
      <c r="D442" s="44"/>
    </row>
    <row r="443">
      <c r="A443" s="43"/>
      <c r="D443" s="44"/>
    </row>
    <row r="444">
      <c r="A444" s="43"/>
      <c r="D444" s="44"/>
    </row>
    <row r="445">
      <c r="A445" s="43"/>
      <c r="D445" s="44"/>
    </row>
    <row r="446">
      <c r="A446" s="43"/>
      <c r="D446" s="44"/>
    </row>
    <row r="447">
      <c r="A447" s="43"/>
      <c r="D447" s="44"/>
    </row>
    <row r="448">
      <c r="A448" s="43"/>
      <c r="D448" s="44"/>
    </row>
    <row r="449">
      <c r="A449" s="43"/>
      <c r="D449" s="44"/>
    </row>
    <row r="450">
      <c r="A450" s="43"/>
      <c r="D450" s="44"/>
    </row>
    <row r="451">
      <c r="A451" s="43"/>
      <c r="D451" s="44"/>
    </row>
    <row r="452">
      <c r="A452" s="43"/>
      <c r="D452" s="44"/>
    </row>
    <row r="453">
      <c r="A453" s="43"/>
      <c r="D453" s="44"/>
    </row>
    <row r="454">
      <c r="A454" s="43"/>
      <c r="D454" s="44"/>
    </row>
    <row r="455">
      <c r="A455" s="43"/>
      <c r="D455" s="44"/>
    </row>
    <row r="456">
      <c r="A456" s="43"/>
      <c r="D456" s="44"/>
    </row>
    <row r="457">
      <c r="A457" s="43"/>
      <c r="D457" s="44"/>
    </row>
    <row r="458">
      <c r="A458" s="43"/>
      <c r="D458" s="44"/>
    </row>
    <row r="459">
      <c r="A459" s="43"/>
      <c r="D459" s="44"/>
    </row>
    <row r="460">
      <c r="A460" s="43"/>
      <c r="D460" s="44"/>
    </row>
    <row r="461">
      <c r="A461" s="43"/>
      <c r="D461" s="44"/>
    </row>
    <row r="462">
      <c r="A462" s="43"/>
      <c r="D462" s="44"/>
    </row>
    <row r="463">
      <c r="A463" s="43"/>
      <c r="D463" s="44"/>
    </row>
    <row r="464">
      <c r="A464" s="43"/>
      <c r="D464" s="44"/>
    </row>
    <row r="465">
      <c r="A465" s="43"/>
      <c r="D465" s="44"/>
    </row>
    <row r="466">
      <c r="A466" s="43"/>
      <c r="D466" s="44"/>
    </row>
    <row r="467">
      <c r="A467" s="43"/>
      <c r="D467" s="44"/>
    </row>
    <row r="468">
      <c r="A468" s="43"/>
      <c r="D468" s="44"/>
    </row>
    <row r="469">
      <c r="A469" s="43"/>
      <c r="D469" s="44"/>
    </row>
    <row r="470">
      <c r="A470" s="43"/>
      <c r="D470" s="44"/>
    </row>
    <row r="471">
      <c r="A471" s="43"/>
      <c r="D471" s="44"/>
    </row>
    <row r="472">
      <c r="A472" s="43"/>
      <c r="D472" s="44"/>
    </row>
    <row r="473">
      <c r="A473" s="43"/>
      <c r="D473" s="44"/>
    </row>
    <row r="474">
      <c r="A474" s="43"/>
      <c r="D474" s="44"/>
    </row>
    <row r="475">
      <c r="A475" s="43"/>
      <c r="D475" s="44"/>
    </row>
    <row r="476">
      <c r="A476" s="43"/>
      <c r="D476" s="44"/>
    </row>
    <row r="477">
      <c r="A477" s="43"/>
      <c r="D477" s="44"/>
    </row>
    <row r="478">
      <c r="A478" s="43"/>
      <c r="D478" s="44"/>
    </row>
    <row r="479">
      <c r="A479" s="43"/>
      <c r="D479" s="44"/>
    </row>
    <row r="480">
      <c r="A480" s="43"/>
      <c r="D480" s="44"/>
    </row>
    <row r="481">
      <c r="A481" s="43"/>
      <c r="D481" s="44"/>
    </row>
    <row r="482">
      <c r="A482" s="43"/>
      <c r="D482" s="44"/>
    </row>
    <row r="483">
      <c r="A483" s="43"/>
      <c r="D483" s="44"/>
    </row>
    <row r="484">
      <c r="A484" s="43"/>
      <c r="D484" s="44"/>
    </row>
    <row r="485">
      <c r="A485" s="43"/>
      <c r="D485" s="44"/>
    </row>
    <row r="486">
      <c r="A486" s="43"/>
      <c r="D486" s="44"/>
    </row>
    <row r="487">
      <c r="A487" s="43"/>
      <c r="D487" s="44"/>
    </row>
    <row r="488">
      <c r="A488" s="43"/>
      <c r="D488" s="44"/>
    </row>
    <row r="489">
      <c r="A489" s="43"/>
      <c r="D489" s="44"/>
    </row>
    <row r="490">
      <c r="A490" s="43"/>
      <c r="D490" s="44"/>
    </row>
    <row r="491">
      <c r="A491" s="43"/>
      <c r="D491" s="44"/>
    </row>
    <row r="492">
      <c r="A492" s="43"/>
      <c r="D492" s="44"/>
    </row>
    <row r="493">
      <c r="A493" s="43"/>
      <c r="D493" s="44"/>
    </row>
    <row r="494">
      <c r="A494" s="43"/>
      <c r="D494" s="44"/>
    </row>
    <row r="495">
      <c r="A495" s="43"/>
      <c r="D495" s="44"/>
    </row>
    <row r="496">
      <c r="A496" s="43"/>
      <c r="D496" s="44"/>
    </row>
    <row r="497">
      <c r="A497" s="43"/>
      <c r="D497" s="44"/>
    </row>
    <row r="498">
      <c r="A498" s="43"/>
      <c r="D498" s="44"/>
    </row>
    <row r="499">
      <c r="A499" s="43"/>
      <c r="D499" s="44"/>
    </row>
    <row r="500">
      <c r="A500" s="43"/>
      <c r="D500" s="44"/>
    </row>
    <row r="501">
      <c r="A501" s="43"/>
      <c r="D501" s="44"/>
    </row>
    <row r="502">
      <c r="A502" s="43"/>
      <c r="D502" s="44"/>
    </row>
    <row r="503">
      <c r="A503" s="43"/>
      <c r="D503" s="44"/>
    </row>
    <row r="504">
      <c r="A504" s="43"/>
      <c r="D504" s="44"/>
    </row>
    <row r="505">
      <c r="A505" s="43"/>
      <c r="D505" s="44"/>
    </row>
    <row r="506">
      <c r="A506" s="43"/>
      <c r="D506" s="44"/>
    </row>
    <row r="507">
      <c r="A507" s="43"/>
      <c r="D507" s="44"/>
    </row>
    <row r="508">
      <c r="A508" s="43"/>
      <c r="D508" s="44"/>
    </row>
    <row r="509">
      <c r="A509" s="43"/>
      <c r="D509" s="44"/>
    </row>
    <row r="510">
      <c r="A510" s="43"/>
      <c r="D510" s="44"/>
    </row>
    <row r="511">
      <c r="A511" s="43"/>
      <c r="D511" s="44"/>
    </row>
    <row r="512">
      <c r="A512" s="43"/>
      <c r="D512" s="44"/>
    </row>
    <row r="513">
      <c r="A513" s="43"/>
      <c r="D513" s="44"/>
    </row>
    <row r="514">
      <c r="A514" s="43"/>
      <c r="D514" s="44"/>
    </row>
    <row r="515">
      <c r="A515" s="43"/>
      <c r="D515" s="44"/>
    </row>
    <row r="516">
      <c r="A516" s="43"/>
      <c r="D516" s="44"/>
    </row>
    <row r="517">
      <c r="A517" s="43"/>
      <c r="D517" s="44"/>
    </row>
    <row r="518">
      <c r="A518" s="43"/>
      <c r="D518" s="44"/>
    </row>
    <row r="519">
      <c r="A519" s="43"/>
      <c r="D519" s="44"/>
    </row>
    <row r="520">
      <c r="A520" s="43"/>
      <c r="D520" s="44"/>
    </row>
    <row r="521">
      <c r="A521" s="43"/>
      <c r="D521" s="44"/>
    </row>
    <row r="522">
      <c r="A522" s="43"/>
      <c r="D522" s="44"/>
    </row>
    <row r="523">
      <c r="A523" s="43"/>
      <c r="D523" s="44"/>
    </row>
    <row r="524">
      <c r="A524" s="43"/>
      <c r="D524" s="44"/>
    </row>
    <row r="525">
      <c r="A525" s="43"/>
      <c r="D525" s="44"/>
    </row>
    <row r="526">
      <c r="A526" s="43"/>
      <c r="D526" s="44"/>
    </row>
    <row r="527">
      <c r="A527" s="43"/>
      <c r="D527" s="44"/>
    </row>
    <row r="528">
      <c r="A528" s="43"/>
      <c r="D528" s="44"/>
    </row>
    <row r="529">
      <c r="A529" s="43"/>
      <c r="D529" s="44"/>
    </row>
    <row r="530">
      <c r="A530" s="43"/>
      <c r="D530" s="44"/>
    </row>
    <row r="531">
      <c r="A531" s="43"/>
      <c r="D531" s="44"/>
    </row>
    <row r="532">
      <c r="A532" s="43"/>
      <c r="D532" s="44"/>
    </row>
    <row r="533">
      <c r="A533" s="43"/>
      <c r="D533" s="44"/>
    </row>
    <row r="534">
      <c r="A534" s="43"/>
      <c r="D534" s="44"/>
    </row>
    <row r="535">
      <c r="A535" s="43"/>
      <c r="D535" s="44"/>
    </row>
    <row r="536">
      <c r="A536" s="43"/>
      <c r="D536" s="44"/>
    </row>
    <row r="537">
      <c r="A537" s="43"/>
      <c r="D537" s="44"/>
    </row>
    <row r="538">
      <c r="A538" s="43"/>
      <c r="D538" s="44"/>
    </row>
    <row r="539">
      <c r="A539" s="43"/>
      <c r="D539" s="44"/>
    </row>
    <row r="540">
      <c r="A540" s="43"/>
      <c r="D540" s="44"/>
    </row>
    <row r="541">
      <c r="A541" s="43"/>
      <c r="D541" s="44"/>
    </row>
    <row r="542">
      <c r="A542" s="43"/>
      <c r="D542" s="44"/>
    </row>
    <row r="543">
      <c r="A543" s="43"/>
      <c r="D543" s="44"/>
    </row>
    <row r="544">
      <c r="A544" s="43"/>
      <c r="D544" s="44"/>
    </row>
    <row r="545">
      <c r="A545" s="43"/>
      <c r="D545" s="44"/>
    </row>
    <row r="546">
      <c r="A546" s="43"/>
      <c r="D546" s="44"/>
    </row>
    <row r="547">
      <c r="A547" s="43"/>
      <c r="D547" s="44"/>
    </row>
    <row r="548">
      <c r="A548" s="43"/>
      <c r="D548" s="44"/>
    </row>
    <row r="549">
      <c r="A549" s="43"/>
      <c r="D549" s="44"/>
    </row>
    <row r="550">
      <c r="A550" s="43"/>
      <c r="D550" s="44"/>
    </row>
    <row r="551">
      <c r="A551" s="43"/>
      <c r="D551" s="44"/>
    </row>
    <row r="552">
      <c r="A552" s="43"/>
      <c r="D552" s="44"/>
    </row>
    <row r="553">
      <c r="A553" s="43"/>
      <c r="D553" s="44"/>
    </row>
    <row r="554">
      <c r="A554" s="43"/>
      <c r="D554" s="44"/>
    </row>
    <row r="555">
      <c r="A555" s="43"/>
      <c r="D555" s="44"/>
    </row>
    <row r="556">
      <c r="A556" s="43"/>
      <c r="D556" s="44"/>
    </row>
    <row r="557">
      <c r="A557" s="43"/>
      <c r="D557" s="44"/>
    </row>
    <row r="558">
      <c r="A558" s="43"/>
      <c r="D558" s="44"/>
    </row>
    <row r="559">
      <c r="A559" s="43"/>
      <c r="D559" s="44"/>
    </row>
    <row r="560">
      <c r="A560" s="43"/>
      <c r="D560" s="44"/>
    </row>
    <row r="561">
      <c r="A561" s="43"/>
      <c r="D561" s="44"/>
    </row>
    <row r="562">
      <c r="A562" s="43"/>
      <c r="D562" s="44"/>
    </row>
    <row r="563">
      <c r="A563" s="43"/>
      <c r="D563" s="44"/>
    </row>
    <row r="564">
      <c r="A564" s="43"/>
      <c r="D564" s="44"/>
    </row>
    <row r="565">
      <c r="A565" s="43"/>
      <c r="D565" s="44"/>
    </row>
    <row r="566">
      <c r="A566" s="43"/>
      <c r="D566" s="44"/>
    </row>
    <row r="567">
      <c r="A567" s="43"/>
      <c r="D567" s="44"/>
    </row>
    <row r="568">
      <c r="A568" s="43"/>
      <c r="D568" s="44"/>
    </row>
    <row r="569">
      <c r="A569" s="43"/>
      <c r="D569" s="44"/>
    </row>
    <row r="570">
      <c r="A570" s="43"/>
      <c r="D570" s="44"/>
    </row>
    <row r="571">
      <c r="A571" s="43"/>
      <c r="D571" s="44"/>
    </row>
    <row r="572">
      <c r="A572" s="43"/>
      <c r="D572" s="44"/>
    </row>
    <row r="573">
      <c r="A573" s="43"/>
      <c r="D573" s="44"/>
    </row>
    <row r="574">
      <c r="A574" s="43"/>
      <c r="D574" s="44"/>
    </row>
    <row r="575">
      <c r="A575" s="43"/>
      <c r="D575" s="44"/>
    </row>
    <row r="576">
      <c r="A576" s="43"/>
      <c r="D576" s="44"/>
    </row>
    <row r="577">
      <c r="A577" s="43"/>
      <c r="D577" s="44"/>
    </row>
    <row r="578">
      <c r="A578" s="43"/>
      <c r="D578" s="44"/>
    </row>
    <row r="579">
      <c r="A579" s="43"/>
      <c r="D579" s="44"/>
    </row>
    <row r="580">
      <c r="A580" s="43"/>
      <c r="D580" s="44"/>
    </row>
    <row r="581">
      <c r="A581" s="43"/>
      <c r="D581" s="44"/>
    </row>
    <row r="582">
      <c r="A582" s="43"/>
      <c r="D582" s="44"/>
    </row>
    <row r="583">
      <c r="A583" s="43"/>
      <c r="D583" s="44"/>
    </row>
    <row r="584">
      <c r="A584" s="43"/>
      <c r="D584" s="44"/>
    </row>
    <row r="585">
      <c r="A585" s="43"/>
      <c r="D585" s="44"/>
    </row>
    <row r="586">
      <c r="A586" s="43"/>
      <c r="D586" s="44"/>
    </row>
    <row r="587">
      <c r="A587" s="43"/>
      <c r="D587" s="44"/>
    </row>
    <row r="588">
      <c r="A588" s="43"/>
      <c r="D588" s="44"/>
    </row>
    <row r="589">
      <c r="A589" s="43"/>
      <c r="D589" s="44"/>
    </row>
    <row r="590">
      <c r="A590" s="43"/>
      <c r="D590" s="44"/>
    </row>
    <row r="591">
      <c r="A591" s="43"/>
      <c r="D591" s="44"/>
    </row>
    <row r="592">
      <c r="A592" s="43"/>
      <c r="D592" s="44"/>
    </row>
    <row r="593">
      <c r="A593" s="43"/>
      <c r="D593" s="44"/>
    </row>
    <row r="594">
      <c r="A594" s="43"/>
      <c r="D594" s="44"/>
    </row>
    <row r="595">
      <c r="A595" s="43"/>
      <c r="D595" s="44"/>
    </row>
    <row r="596">
      <c r="A596" s="43"/>
      <c r="D596" s="44"/>
    </row>
    <row r="597">
      <c r="A597" s="43"/>
      <c r="D597" s="44"/>
    </row>
    <row r="598">
      <c r="A598" s="43"/>
      <c r="D598" s="44"/>
    </row>
    <row r="599">
      <c r="A599" s="43"/>
      <c r="D599" s="44"/>
    </row>
    <row r="600">
      <c r="A600" s="43"/>
      <c r="D600" s="44"/>
    </row>
    <row r="601">
      <c r="A601" s="43"/>
      <c r="D601" s="44"/>
    </row>
    <row r="602">
      <c r="A602" s="43"/>
      <c r="D602" s="44"/>
    </row>
    <row r="603">
      <c r="A603" s="43"/>
      <c r="D603" s="44"/>
    </row>
    <row r="604">
      <c r="A604" s="43"/>
      <c r="D604" s="44"/>
    </row>
    <row r="605">
      <c r="A605" s="43"/>
      <c r="D605" s="44"/>
    </row>
    <row r="606">
      <c r="A606" s="43"/>
      <c r="D606" s="44"/>
    </row>
    <row r="607">
      <c r="A607" s="43"/>
      <c r="D607" s="44"/>
    </row>
    <row r="608">
      <c r="A608" s="43"/>
      <c r="D608" s="44"/>
    </row>
    <row r="609">
      <c r="A609" s="43"/>
      <c r="D609" s="44"/>
    </row>
    <row r="610">
      <c r="A610" s="43"/>
      <c r="D610" s="44"/>
    </row>
    <row r="611">
      <c r="A611" s="43"/>
      <c r="D611" s="44"/>
    </row>
    <row r="612">
      <c r="A612" s="43"/>
      <c r="D612" s="44"/>
    </row>
    <row r="613">
      <c r="A613" s="43"/>
      <c r="D613" s="44"/>
    </row>
    <row r="614">
      <c r="A614" s="43"/>
      <c r="D614" s="44"/>
    </row>
    <row r="615">
      <c r="A615" s="43"/>
      <c r="D615" s="44"/>
    </row>
    <row r="616">
      <c r="A616" s="43"/>
      <c r="D616" s="44"/>
    </row>
    <row r="617">
      <c r="A617" s="43"/>
      <c r="D617" s="44"/>
    </row>
    <row r="618">
      <c r="A618" s="43"/>
      <c r="D618" s="44"/>
    </row>
    <row r="619">
      <c r="A619" s="43"/>
      <c r="D619" s="44"/>
    </row>
    <row r="620">
      <c r="A620" s="43"/>
      <c r="D620" s="44"/>
    </row>
    <row r="621">
      <c r="A621" s="43"/>
      <c r="D621" s="44"/>
    </row>
    <row r="622">
      <c r="A622" s="43"/>
      <c r="D622" s="44"/>
    </row>
    <row r="623">
      <c r="A623" s="43"/>
      <c r="D623" s="44"/>
    </row>
    <row r="624">
      <c r="A624" s="43"/>
      <c r="D624" s="44"/>
    </row>
    <row r="625">
      <c r="A625" s="43"/>
      <c r="D625" s="44"/>
    </row>
    <row r="626">
      <c r="A626" s="43"/>
      <c r="D626" s="44"/>
    </row>
    <row r="627">
      <c r="A627" s="43"/>
      <c r="D627" s="44"/>
    </row>
    <row r="628">
      <c r="A628" s="43"/>
      <c r="D628" s="44"/>
    </row>
    <row r="629">
      <c r="A629" s="43"/>
      <c r="D629" s="44"/>
    </row>
    <row r="630">
      <c r="A630" s="43"/>
      <c r="D630" s="44"/>
    </row>
    <row r="631">
      <c r="A631" s="43"/>
      <c r="D631" s="44"/>
    </row>
    <row r="632">
      <c r="A632" s="43"/>
      <c r="D632" s="44"/>
    </row>
    <row r="633">
      <c r="A633" s="43"/>
      <c r="D633" s="44"/>
    </row>
    <row r="634">
      <c r="A634" s="43"/>
      <c r="D634" s="44"/>
    </row>
    <row r="635">
      <c r="A635" s="43"/>
      <c r="D635" s="44"/>
    </row>
    <row r="636">
      <c r="A636" s="43"/>
      <c r="D636" s="44"/>
    </row>
    <row r="637">
      <c r="A637" s="43"/>
      <c r="D637" s="44"/>
    </row>
    <row r="638">
      <c r="A638" s="43"/>
      <c r="D638" s="44"/>
    </row>
    <row r="639">
      <c r="A639" s="43"/>
      <c r="D639" s="44"/>
    </row>
    <row r="640">
      <c r="A640" s="43"/>
      <c r="D640" s="44"/>
    </row>
    <row r="641">
      <c r="A641" s="43"/>
      <c r="D641" s="44"/>
    </row>
    <row r="642">
      <c r="A642" s="43"/>
      <c r="D642" s="44"/>
    </row>
    <row r="643">
      <c r="A643" s="43"/>
      <c r="D643" s="44"/>
    </row>
    <row r="644">
      <c r="A644" s="43"/>
      <c r="D644" s="44"/>
    </row>
    <row r="645">
      <c r="A645" s="43"/>
      <c r="D645" s="44"/>
    </row>
    <row r="646">
      <c r="A646" s="43"/>
      <c r="D646" s="44"/>
    </row>
    <row r="647">
      <c r="A647" s="43"/>
      <c r="D647" s="44"/>
    </row>
    <row r="648">
      <c r="A648" s="43"/>
      <c r="D648" s="44"/>
    </row>
    <row r="649">
      <c r="A649" s="43"/>
      <c r="D649" s="44"/>
    </row>
    <row r="650">
      <c r="A650" s="43"/>
      <c r="D650" s="44"/>
    </row>
    <row r="651">
      <c r="A651" s="43"/>
      <c r="D651" s="44"/>
    </row>
    <row r="652">
      <c r="A652" s="43"/>
      <c r="D652" s="44"/>
    </row>
    <row r="653">
      <c r="A653" s="43"/>
      <c r="D653" s="44"/>
    </row>
    <row r="654">
      <c r="A654" s="43"/>
      <c r="D654" s="44"/>
    </row>
    <row r="655">
      <c r="A655" s="43"/>
      <c r="D655" s="44"/>
    </row>
    <row r="656">
      <c r="A656" s="43"/>
      <c r="D656" s="44"/>
    </row>
    <row r="657">
      <c r="A657" s="43"/>
      <c r="D657" s="44"/>
    </row>
    <row r="658">
      <c r="A658" s="43"/>
      <c r="D658" s="44"/>
    </row>
    <row r="659">
      <c r="A659" s="43"/>
      <c r="D659" s="44"/>
    </row>
    <row r="660">
      <c r="A660" s="43"/>
      <c r="D660" s="44"/>
    </row>
    <row r="661">
      <c r="A661" s="43"/>
      <c r="D661" s="44"/>
    </row>
    <row r="662">
      <c r="A662" s="43"/>
      <c r="D662" s="44"/>
    </row>
    <row r="663">
      <c r="A663" s="43"/>
      <c r="D663" s="44"/>
    </row>
    <row r="664">
      <c r="A664" s="43"/>
      <c r="D664" s="44"/>
    </row>
    <row r="665">
      <c r="A665" s="43"/>
      <c r="D665" s="44"/>
    </row>
    <row r="666">
      <c r="A666" s="43"/>
      <c r="D666" s="44"/>
    </row>
    <row r="667">
      <c r="A667" s="43"/>
      <c r="D667" s="44"/>
    </row>
    <row r="668">
      <c r="A668" s="43"/>
      <c r="D668" s="44"/>
    </row>
    <row r="669">
      <c r="A669" s="43"/>
      <c r="D669" s="44"/>
    </row>
    <row r="670">
      <c r="A670" s="43"/>
      <c r="D670" s="44"/>
    </row>
    <row r="671">
      <c r="A671" s="43"/>
      <c r="D671" s="44"/>
    </row>
    <row r="672">
      <c r="A672" s="43"/>
      <c r="D672" s="44"/>
    </row>
    <row r="673">
      <c r="A673" s="43"/>
      <c r="D673" s="44"/>
    </row>
    <row r="674">
      <c r="A674" s="43"/>
      <c r="D674" s="44"/>
    </row>
    <row r="675">
      <c r="A675" s="43"/>
      <c r="D675" s="44"/>
    </row>
    <row r="676">
      <c r="A676" s="43"/>
      <c r="D676" s="44"/>
    </row>
    <row r="677">
      <c r="A677" s="43"/>
      <c r="D677" s="44"/>
    </row>
    <row r="678">
      <c r="A678" s="43"/>
      <c r="D678" s="44"/>
    </row>
    <row r="679">
      <c r="A679" s="43"/>
      <c r="D679" s="44"/>
    </row>
    <row r="680">
      <c r="A680" s="43"/>
      <c r="D680" s="44"/>
    </row>
    <row r="681">
      <c r="A681" s="43"/>
      <c r="D681" s="44"/>
    </row>
    <row r="682">
      <c r="A682" s="43"/>
      <c r="D682" s="44"/>
    </row>
    <row r="683">
      <c r="A683" s="43"/>
      <c r="D683" s="44"/>
    </row>
    <row r="684">
      <c r="A684" s="43"/>
      <c r="D684" s="44"/>
    </row>
    <row r="685">
      <c r="A685" s="43"/>
      <c r="D685" s="44"/>
    </row>
    <row r="686">
      <c r="A686" s="43"/>
      <c r="D686" s="44"/>
    </row>
    <row r="687">
      <c r="A687" s="43"/>
      <c r="D687" s="44"/>
    </row>
    <row r="688">
      <c r="A688" s="43"/>
      <c r="D688" s="44"/>
    </row>
    <row r="689">
      <c r="A689" s="43"/>
      <c r="D689" s="44"/>
    </row>
    <row r="690">
      <c r="A690" s="43"/>
      <c r="D690" s="44"/>
    </row>
    <row r="691">
      <c r="A691" s="43"/>
      <c r="D691" s="44"/>
    </row>
    <row r="692">
      <c r="A692" s="43"/>
      <c r="D692" s="44"/>
    </row>
    <row r="693">
      <c r="A693" s="43"/>
      <c r="D693" s="44"/>
    </row>
    <row r="694">
      <c r="A694" s="43"/>
      <c r="D694" s="44"/>
    </row>
    <row r="695">
      <c r="A695" s="43"/>
      <c r="D695" s="44"/>
    </row>
    <row r="696">
      <c r="A696" s="43"/>
      <c r="D696" s="44"/>
    </row>
    <row r="697">
      <c r="A697" s="43"/>
      <c r="D697" s="44"/>
    </row>
    <row r="698">
      <c r="A698" s="43"/>
      <c r="D698" s="44"/>
    </row>
    <row r="699">
      <c r="A699" s="43"/>
      <c r="D699" s="44"/>
    </row>
    <row r="700">
      <c r="A700" s="43"/>
      <c r="D700" s="44"/>
    </row>
    <row r="701">
      <c r="A701" s="43"/>
      <c r="D701" s="44"/>
    </row>
    <row r="702">
      <c r="A702" s="43"/>
      <c r="D702" s="44"/>
    </row>
    <row r="703">
      <c r="A703" s="43"/>
      <c r="D703" s="44"/>
    </row>
    <row r="704">
      <c r="A704" s="43"/>
      <c r="D704" s="44"/>
    </row>
    <row r="705">
      <c r="A705" s="43"/>
      <c r="D705" s="44"/>
    </row>
    <row r="706">
      <c r="A706" s="43"/>
      <c r="D706" s="44"/>
    </row>
    <row r="707">
      <c r="A707" s="43"/>
      <c r="D707" s="44"/>
    </row>
    <row r="708">
      <c r="A708" s="43"/>
      <c r="D708" s="44"/>
    </row>
    <row r="709">
      <c r="A709" s="43"/>
      <c r="D709" s="44"/>
    </row>
    <row r="710">
      <c r="A710" s="43"/>
      <c r="D710" s="44"/>
    </row>
    <row r="711">
      <c r="A711" s="43"/>
      <c r="D711" s="44"/>
    </row>
    <row r="712">
      <c r="A712" s="43"/>
      <c r="D712" s="44"/>
    </row>
    <row r="713">
      <c r="A713" s="43"/>
      <c r="D713" s="44"/>
    </row>
    <row r="714">
      <c r="A714" s="43"/>
      <c r="D714" s="44"/>
    </row>
    <row r="715">
      <c r="A715" s="43"/>
      <c r="D715" s="44"/>
    </row>
    <row r="716">
      <c r="A716" s="43"/>
      <c r="D716" s="44"/>
    </row>
    <row r="717">
      <c r="A717" s="43"/>
      <c r="D717" s="44"/>
    </row>
    <row r="718">
      <c r="A718" s="43"/>
      <c r="D718" s="44"/>
    </row>
    <row r="719">
      <c r="A719" s="43"/>
      <c r="D719" s="44"/>
    </row>
    <row r="720">
      <c r="A720" s="43"/>
      <c r="D720" s="44"/>
    </row>
    <row r="721">
      <c r="A721" s="43"/>
      <c r="D721" s="44"/>
    </row>
    <row r="722">
      <c r="A722" s="43"/>
      <c r="D722" s="44"/>
    </row>
    <row r="723">
      <c r="A723" s="43"/>
      <c r="D723" s="44"/>
    </row>
    <row r="724">
      <c r="A724" s="43"/>
      <c r="D724" s="44"/>
    </row>
    <row r="725">
      <c r="A725" s="43"/>
      <c r="D725" s="44"/>
    </row>
    <row r="726">
      <c r="A726" s="43"/>
      <c r="D726" s="44"/>
    </row>
    <row r="727">
      <c r="A727" s="43"/>
      <c r="D727" s="44"/>
    </row>
    <row r="728">
      <c r="A728" s="43"/>
      <c r="D728" s="44"/>
    </row>
    <row r="729">
      <c r="A729" s="43"/>
      <c r="D729" s="44"/>
    </row>
    <row r="730">
      <c r="A730" s="43"/>
      <c r="D730" s="44"/>
    </row>
    <row r="731">
      <c r="A731" s="43"/>
      <c r="D731" s="44"/>
    </row>
    <row r="732">
      <c r="A732" s="43"/>
      <c r="D732" s="44"/>
    </row>
    <row r="733">
      <c r="A733" s="43"/>
      <c r="D733" s="44"/>
    </row>
    <row r="734">
      <c r="A734" s="43"/>
      <c r="D734" s="44"/>
    </row>
    <row r="735">
      <c r="A735" s="43"/>
      <c r="D735" s="44"/>
    </row>
    <row r="736">
      <c r="A736" s="43"/>
      <c r="D736" s="44"/>
    </row>
    <row r="737">
      <c r="A737" s="43"/>
      <c r="D737" s="44"/>
    </row>
    <row r="738">
      <c r="A738" s="43"/>
      <c r="D738" s="44"/>
    </row>
    <row r="739">
      <c r="A739" s="43"/>
      <c r="D739" s="44"/>
    </row>
    <row r="740">
      <c r="A740" s="43"/>
      <c r="D740" s="44"/>
    </row>
    <row r="741">
      <c r="A741" s="43"/>
      <c r="D741" s="44"/>
    </row>
    <row r="742">
      <c r="A742" s="43"/>
      <c r="D742" s="44"/>
    </row>
    <row r="743">
      <c r="A743" s="43"/>
      <c r="D743" s="44"/>
    </row>
    <row r="744">
      <c r="A744" s="43"/>
      <c r="D744" s="44"/>
    </row>
    <row r="745">
      <c r="A745" s="43"/>
      <c r="D745" s="44"/>
    </row>
    <row r="746">
      <c r="A746" s="43"/>
      <c r="D746" s="44"/>
    </row>
    <row r="747">
      <c r="A747" s="43"/>
      <c r="D747" s="44"/>
    </row>
    <row r="748">
      <c r="A748" s="43"/>
      <c r="D748" s="44"/>
    </row>
    <row r="749">
      <c r="A749" s="43"/>
      <c r="D749" s="44"/>
    </row>
    <row r="750">
      <c r="A750" s="43"/>
      <c r="D750" s="44"/>
    </row>
    <row r="751">
      <c r="A751" s="43"/>
      <c r="D751" s="44"/>
    </row>
    <row r="752">
      <c r="A752" s="43"/>
      <c r="D752" s="44"/>
    </row>
    <row r="753">
      <c r="A753" s="43"/>
      <c r="D753" s="44"/>
    </row>
    <row r="754">
      <c r="A754" s="43"/>
      <c r="D754" s="44"/>
    </row>
    <row r="755">
      <c r="A755" s="43"/>
      <c r="D755" s="44"/>
    </row>
    <row r="756">
      <c r="A756" s="43"/>
      <c r="D756" s="44"/>
    </row>
    <row r="757">
      <c r="A757" s="43"/>
      <c r="D757" s="44"/>
    </row>
    <row r="758">
      <c r="A758" s="43"/>
      <c r="D758" s="44"/>
    </row>
    <row r="759">
      <c r="A759" s="43"/>
      <c r="D759" s="44"/>
    </row>
    <row r="760">
      <c r="A760" s="43"/>
      <c r="D760" s="44"/>
    </row>
    <row r="761">
      <c r="A761" s="43"/>
      <c r="D761" s="44"/>
    </row>
    <row r="762">
      <c r="A762" s="43"/>
      <c r="D762" s="44"/>
    </row>
    <row r="763">
      <c r="A763" s="43"/>
      <c r="D763" s="44"/>
    </row>
    <row r="764">
      <c r="A764" s="43"/>
      <c r="D764" s="44"/>
    </row>
    <row r="765">
      <c r="A765" s="43"/>
      <c r="D765" s="44"/>
    </row>
    <row r="766">
      <c r="A766" s="43"/>
      <c r="D766" s="44"/>
    </row>
    <row r="767">
      <c r="A767" s="43"/>
      <c r="D767" s="44"/>
    </row>
    <row r="768">
      <c r="A768" s="43"/>
      <c r="D768" s="44"/>
    </row>
    <row r="769">
      <c r="A769" s="43"/>
      <c r="D769" s="44"/>
    </row>
    <row r="770">
      <c r="A770" s="43"/>
      <c r="D770" s="44"/>
    </row>
    <row r="771">
      <c r="A771" s="43"/>
      <c r="D771" s="44"/>
    </row>
    <row r="772">
      <c r="A772" s="43"/>
      <c r="D772" s="44"/>
    </row>
    <row r="773">
      <c r="A773" s="43"/>
      <c r="D773" s="44"/>
    </row>
    <row r="774">
      <c r="A774" s="43"/>
      <c r="D774" s="44"/>
    </row>
    <row r="775">
      <c r="A775" s="43"/>
      <c r="D775" s="44"/>
    </row>
    <row r="776">
      <c r="A776" s="43"/>
      <c r="D776" s="44"/>
    </row>
    <row r="777">
      <c r="A777" s="43"/>
      <c r="D777" s="44"/>
    </row>
    <row r="778">
      <c r="A778" s="43"/>
      <c r="D778" s="44"/>
    </row>
    <row r="779">
      <c r="A779" s="43"/>
      <c r="D779" s="44"/>
    </row>
    <row r="780">
      <c r="A780" s="43"/>
      <c r="D780" s="44"/>
    </row>
    <row r="781">
      <c r="A781" s="43"/>
      <c r="D781" s="44"/>
    </row>
    <row r="782">
      <c r="A782" s="43"/>
      <c r="D782" s="44"/>
    </row>
    <row r="783">
      <c r="A783" s="43"/>
      <c r="D783" s="44"/>
    </row>
    <row r="784">
      <c r="A784" s="43"/>
      <c r="D784" s="44"/>
    </row>
    <row r="785">
      <c r="A785" s="43"/>
      <c r="D785" s="44"/>
    </row>
    <row r="786">
      <c r="A786" s="43"/>
      <c r="D786" s="44"/>
    </row>
    <row r="787">
      <c r="A787" s="43"/>
      <c r="D787" s="44"/>
    </row>
    <row r="788">
      <c r="A788" s="43"/>
      <c r="D788" s="44"/>
    </row>
    <row r="789">
      <c r="A789" s="43"/>
      <c r="D789" s="44"/>
    </row>
    <row r="790">
      <c r="A790" s="43"/>
      <c r="D790" s="44"/>
    </row>
    <row r="791">
      <c r="A791" s="43"/>
      <c r="D791" s="44"/>
    </row>
    <row r="792">
      <c r="A792" s="43"/>
      <c r="D792" s="44"/>
    </row>
    <row r="793">
      <c r="A793" s="43"/>
      <c r="D793" s="44"/>
    </row>
    <row r="794">
      <c r="A794" s="43"/>
      <c r="D794" s="44"/>
    </row>
    <row r="795">
      <c r="A795" s="43"/>
      <c r="D795" s="44"/>
    </row>
    <row r="796">
      <c r="A796" s="43"/>
      <c r="D796" s="44"/>
    </row>
    <row r="797">
      <c r="A797" s="43"/>
      <c r="D797" s="44"/>
    </row>
    <row r="798">
      <c r="A798" s="43"/>
      <c r="D798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64.63"/>
  </cols>
  <sheetData>
    <row r="1">
      <c r="A1" s="45" t="s">
        <v>4</v>
      </c>
      <c r="B1" s="46" t="s">
        <v>3</v>
      </c>
      <c r="C1" s="46" t="s">
        <v>377</v>
      </c>
      <c r="D1" s="46" t="s">
        <v>1</v>
      </c>
      <c r="E1" s="46" t="s">
        <v>5</v>
      </c>
      <c r="F1" s="46" t="s">
        <v>7</v>
      </c>
      <c r="G1" s="47" t="s">
        <v>9</v>
      </c>
      <c r="H1" s="47" t="s">
        <v>378</v>
      </c>
      <c r="I1" s="16" t="s">
        <v>4</v>
      </c>
      <c r="J1" s="16" t="s">
        <v>3</v>
      </c>
      <c r="K1" s="16" t="s">
        <v>377</v>
      </c>
      <c r="L1" s="16" t="s">
        <v>1</v>
      </c>
      <c r="M1" s="16" t="s">
        <v>5</v>
      </c>
      <c r="N1" s="16" t="s">
        <v>7</v>
      </c>
      <c r="O1" s="16" t="s">
        <v>9</v>
      </c>
    </row>
    <row r="2">
      <c r="A2" s="34" t="s">
        <v>379</v>
      </c>
      <c r="B2" s="48">
        <v>46052.0</v>
      </c>
      <c r="C2" s="49"/>
      <c r="D2" s="16">
        <v>5.1105E7</v>
      </c>
      <c r="E2" s="16" t="s">
        <v>380</v>
      </c>
      <c r="F2" s="50">
        <v>90215.33</v>
      </c>
      <c r="I2" s="16" t="s">
        <v>379</v>
      </c>
      <c r="M2" s="16" t="s">
        <v>380</v>
      </c>
    </row>
    <row r="3">
      <c r="A3" s="34" t="s">
        <v>379</v>
      </c>
      <c r="B3" s="48">
        <v>46052.0</v>
      </c>
      <c r="C3" s="49"/>
      <c r="D3" s="16" t="s">
        <v>381</v>
      </c>
      <c r="E3" s="16" t="s">
        <v>382</v>
      </c>
      <c r="F3" s="50">
        <v>13544.3</v>
      </c>
      <c r="I3" s="16" t="s">
        <v>379</v>
      </c>
      <c r="J3" s="48">
        <v>46052.0</v>
      </c>
      <c r="L3" s="16" t="s">
        <v>381</v>
      </c>
      <c r="M3" s="16" t="s">
        <v>382</v>
      </c>
      <c r="O3" s="50">
        <v>13544.3</v>
      </c>
    </row>
    <row r="4">
      <c r="A4" s="34" t="s">
        <v>379</v>
      </c>
      <c r="B4" s="48">
        <v>46052.0</v>
      </c>
      <c r="C4" s="49"/>
      <c r="D4" s="16" t="s">
        <v>383</v>
      </c>
      <c r="E4" s="16" t="s">
        <v>384</v>
      </c>
      <c r="G4" s="23">
        <v>2987.1</v>
      </c>
      <c r="H4" s="51">
        <v>6698916.0</v>
      </c>
      <c r="I4" s="16" t="s">
        <v>379</v>
      </c>
      <c r="J4" s="48">
        <v>46052.0</v>
      </c>
      <c r="L4" s="16" t="s">
        <v>381</v>
      </c>
      <c r="M4" s="16" t="s">
        <v>385</v>
      </c>
      <c r="N4" s="50">
        <v>549.63</v>
      </c>
    </row>
    <row r="5">
      <c r="A5" s="34" t="s">
        <v>379</v>
      </c>
      <c r="B5" s="48">
        <v>46052.0</v>
      </c>
      <c r="C5" s="49"/>
      <c r="D5" s="16" t="s">
        <v>383</v>
      </c>
      <c r="E5" s="16" t="s">
        <v>386</v>
      </c>
      <c r="G5" s="23">
        <v>2073.38</v>
      </c>
      <c r="H5" s="16">
        <v>6698991.0</v>
      </c>
      <c r="I5" s="16" t="s">
        <v>379</v>
      </c>
      <c r="J5" s="48">
        <v>46052.0</v>
      </c>
      <c r="L5" s="16" t="s">
        <v>381</v>
      </c>
      <c r="M5" s="16" t="s">
        <v>387</v>
      </c>
      <c r="N5" s="50">
        <v>381.5</v>
      </c>
    </row>
    <row r="6">
      <c r="A6" s="34" t="s">
        <v>379</v>
      </c>
      <c r="B6" s="48">
        <v>46052.0</v>
      </c>
      <c r="C6" s="49"/>
      <c r="D6" s="16" t="s">
        <v>383</v>
      </c>
      <c r="E6" s="16" t="s">
        <v>388</v>
      </c>
      <c r="G6" s="23">
        <v>983.25</v>
      </c>
      <c r="H6" s="16">
        <v>6698991.0</v>
      </c>
      <c r="I6" s="16" t="s">
        <v>379</v>
      </c>
      <c r="J6" s="48">
        <v>46052.0</v>
      </c>
      <c r="L6" s="16" t="s">
        <v>381</v>
      </c>
      <c r="M6" s="16" t="s">
        <v>389</v>
      </c>
      <c r="N6" s="50">
        <v>180.92</v>
      </c>
    </row>
    <row r="7">
      <c r="A7" s="34" t="s">
        <v>379</v>
      </c>
      <c r="B7" s="48">
        <v>46052.0</v>
      </c>
      <c r="C7" s="49"/>
      <c r="D7" s="16" t="s">
        <v>383</v>
      </c>
      <c r="E7" s="16" t="s">
        <v>390</v>
      </c>
      <c r="G7" s="23">
        <v>0.0</v>
      </c>
      <c r="H7" s="16">
        <v>6698991.0</v>
      </c>
      <c r="I7" s="16" t="s">
        <v>379</v>
      </c>
      <c r="J7" s="48">
        <v>46052.0</v>
      </c>
      <c r="L7" s="16" t="s">
        <v>381</v>
      </c>
      <c r="M7" s="16" t="s">
        <v>391</v>
      </c>
      <c r="N7" s="50">
        <v>9.5</v>
      </c>
    </row>
    <row r="8">
      <c r="A8" s="34" t="s">
        <v>379</v>
      </c>
      <c r="B8" s="48">
        <v>46052.0</v>
      </c>
      <c r="C8" s="49"/>
      <c r="D8" s="16" t="s">
        <v>383</v>
      </c>
      <c r="E8" s="16" t="s">
        <v>392</v>
      </c>
      <c r="G8" s="23">
        <v>1800.0</v>
      </c>
      <c r="H8" s="51">
        <v>1.2167482E7</v>
      </c>
      <c r="I8" s="16" t="s">
        <v>379</v>
      </c>
      <c r="J8" s="48">
        <v>46052.0</v>
      </c>
      <c r="L8" s="16" t="s">
        <v>381</v>
      </c>
      <c r="M8" s="16" t="s">
        <v>393</v>
      </c>
      <c r="N8" s="16">
        <v>331.2</v>
      </c>
    </row>
    <row r="9">
      <c r="A9" s="34" t="s">
        <v>379</v>
      </c>
      <c r="B9" s="48">
        <v>46052.0</v>
      </c>
      <c r="C9" s="49"/>
      <c r="D9" s="16" t="s">
        <v>383</v>
      </c>
      <c r="E9" s="16" t="s">
        <v>394</v>
      </c>
      <c r="G9" s="23">
        <v>903.6</v>
      </c>
      <c r="H9" s="51">
        <v>1.0725315E7</v>
      </c>
      <c r="I9" s="16" t="s">
        <v>379</v>
      </c>
      <c r="J9" s="48">
        <v>46052.0</v>
      </c>
      <c r="L9" s="16" t="s">
        <v>381</v>
      </c>
      <c r="M9" s="16" t="s">
        <v>395</v>
      </c>
      <c r="N9" s="16">
        <v>0.0</v>
      </c>
    </row>
    <row r="10">
      <c r="A10" s="34" t="s">
        <v>379</v>
      </c>
      <c r="B10" s="48">
        <v>46052.0</v>
      </c>
      <c r="C10" s="49"/>
      <c r="D10" s="16" t="s">
        <v>383</v>
      </c>
      <c r="E10" s="16" t="s">
        <v>396</v>
      </c>
      <c r="G10" s="23">
        <v>-15.6</v>
      </c>
      <c r="H10" s="16">
        <v>1.0725315E7</v>
      </c>
      <c r="I10" s="16" t="s">
        <v>379</v>
      </c>
      <c r="J10" s="48">
        <v>46052.0</v>
      </c>
      <c r="L10" s="16" t="s">
        <v>381</v>
      </c>
      <c r="M10" s="16" t="s">
        <v>397</v>
      </c>
      <c r="N10" s="16">
        <v>0.0</v>
      </c>
    </row>
    <row r="11">
      <c r="A11" s="34" t="s">
        <v>379</v>
      </c>
      <c r="B11" s="48">
        <v>46052.0</v>
      </c>
      <c r="C11" s="49"/>
      <c r="D11" s="16" t="s">
        <v>383</v>
      </c>
      <c r="E11" s="16" t="s">
        <v>398</v>
      </c>
      <c r="G11" s="16">
        <v>748.5</v>
      </c>
      <c r="H11" s="16">
        <v>1.3729996E7</v>
      </c>
      <c r="I11" s="16" t="s">
        <v>379</v>
      </c>
      <c r="J11" s="48">
        <v>46052.0</v>
      </c>
      <c r="L11" s="16" t="s">
        <v>381</v>
      </c>
      <c r="M11" s="16" t="s">
        <v>399</v>
      </c>
      <c r="N11" s="16">
        <v>137.73</v>
      </c>
    </row>
    <row r="12">
      <c r="A12" s="34" t="s">
        <v>379</v>
      </c>
      <c r="B12" s="48">
        <v>46052.0</v>
      </c>
      <c r="C12" s="49"/>
      <c r="D12" s="16" t="s">
        <v>383</v>
      </c>
      <c r="E12" s="16" t="s">
        <v>400</v>
      </c>
      <c r="G12" s="16">
        <v>0.0</v>
      </c>
      <c r="H12" s="16">
        <v>1.3729996E7</v>
      </c>
      <c r="I12" s="16" t="s">
        <v>379</v>
      </c>
      <c r="J12" s="48">
        <v>46052.0</v>
      </c>
      <c r="L12" s="16" t="s">
        <v>381</v>
      </c>
      <c r="M12" s="16" t="s">
        <v>401</v>
      </c>
      <c r="N12" s="16">
        <v>2.78</v>
      </c>
    </row>
    <row r="13">
      <c r="A13" s="34" t="s">
        <v>379</v>
      </c>
      <c r="B13" s="48">
        <v>46052.0</v>
      </c>
      <c r="D13" s="16" t="s">
        <v>383</v>
      </c>
      <c r="E13" s="16" t="s">
        <v>402</v>
      </c>
      <c r="G13" s="16">
        <v>603.0</v>
      </c>
      <c r="H13" s="23">
        <v>3788716.0</v>
      </c>
      <c r="I13" s="16" t="s">
        <v>379</v>
      </c>
      <c r="J13" s="48">
        <v>46052.0</v>
      </c>
      <c r="L13" s="16" t="s">
        <v>381</v>
      </c>
      <c r="M13" s="16" t="s">
        <v>403</v>
      </c>
      <c r="N13" s="16">
        <v>110.95</v>
      </c>
    </row>
    <row r="14">
      <c r="A14" s="34" t="s">
        <v>379</v>
      </c>
      <c r="B14" s="48">
        <v>46052.0</v>
      </c>
      <c r="D14" s="16" t="s">
        <v>383</v>
      </c>
      <c r="E14" s="16" t="s">
        <v>404</v>
      </c>
      <c r="G14" s="16">
        <v>906.3</v>
      </c>
      <c r="H14" s="23">
        <v>1.1120021E7</v>
      </c>
      <c r="I14" s="16" t="s">
        <v>379</v>
      </c>
      <c r="J14" s="48">
        <v>46052.0</v>
      </c>
      <c r="L14" s="16" t="s">
        <v>381</v>
      </c>
      <c r="M14" s="16" t="s">
        <v>405</v>
      </c>
      <c r="N14" s="16">
        <v>166.76</v>
      </c>
    </row>
    <row r="15">
      <c r="A15" s="34" t="s">
        <v>379</v>
      </c>
      <c r="B15" s="48">
        <v>46052.0</v>
      </c>
      <c r="D15" s="16" t="s">
        <v>383</v>
      </c>
      <c r="E15" s="16" t="s">
        <v>406</v>
      </c>
      <c r="G15" s="23">
        <v>1310.4</v>
      </c>
      <c r="H15" s="16">
        <v>1.0047431E7</v>
      </c>
      <c r="I15" s="16" t="s">
        <v>379</v>
      </c>
      <c r="J15" s="48">
        <v>46052.0</v>
      </c>
      <c r="L15" s="16" t="s">
        <v>381</v>
      </c>
      <c r="M15" s="16" t="s">
        <v>407</v>
      </c>
      <c r="N15" s="16">
        <v>0.0</v>
      </c>
    </row>
    <row r="16">
      <c r="A16" s="34" t="s">
        <v>379</v>
      </c>
      <c r="B16" s="48">
        <v>46052.0</v>
      </c>
      <c r="D16" s="16" t="s">
        <v>383</v>
      </c>
      <c r="E16" s="16" t="s">
        <v>408</v>
      </c>
      <c r="G16" s="23">
        <v>492.03</v>
      </c>
      <c r="H16" s="16">
        <v>8891011.0</v>
      </c>
      <c r="I16" s="16" t="s">
        <v>379</v>
      </c>
      <c r="J16" s="48">
        <v>46052.0</v>
      </c>
      <c r="L16" s="16" t="s">
        <v>381</v>
      </c>
      <c r="M16" s="16" t="s">
        <v>409</v>
      </c>
      <c r="N16" s="16">
        <v>90.54</v>
      </c>
    </row>
    <row r="17">
      <c r="A17" s="34" t="s">
        <v>379</v>
      </c>
      <c r="B17" s="48">
        <v>46052.0</v>
      </c>
      <c r="D17" s="16" t="s">
        <v>383</v>
      </c>
      <c r="E17" s="16" t="s">
        <v>410</v>
      </c>
      <c r="G17" s="23">
        <v>0.0</v>
      </c>
      <c r="H17" s="16">
        <v>8891011.0</v>
      </c>
      <c r="I17" s="16" t="s">
        <v>379</v>
      </c>
      <c r="J17" s="48">
        <v>46052.0</v>
      </c>
      <c r="L17" s="16" t="s">
        <v>381</v>
      </c>
      <c r="M17" s="16" t="s">
        <v>411</v>
      </c>
      <c r="N17" s="16">
        <v>4.76</v>
      </c>
    </row>
    <row r="18">
      <c r="A18" s="34" t="s">
        <v>379</v>
      </c>
      <c r="B18" s="48">
        <v>46052.0</v>
      </c>
      <c r="D18" s="16" t="s">
        <v>383</v>
      </c>
      <c r="E18" s="16" t="s">
        <v>412</v>
      </c>
      <c r="G18" s="23">
        <v>625.5</v>
      </c>
      <c r="H18" s="16">
        <v>5428307.0</v>
      </c>
      <c r="I18" s="16" t="s">
        <v>379</v>
      </c>
      <c r="J18" s="48">
        <v>46052.0</v>
      </c>
      <c r="L18" s="16" t="s">
        <v>381</v>
      </c>
      <c r="M18" s="16" t="s">
        <v>413</v>
      </c>
      <c r="N18" s="16">
        <v>115.1</v>
      </c>
    </row>
    <row r="19">
      <c r="A19" s="34" t="s">
        <v>379</v>
      </c>
      <c r="B19" s="48">
        <v>46052.0</v>
      </c>
      <c r="D19" s="16" t="s">
        <v>383</v>
      </c>
      <c r="E19" s="16" t="s">
        <v>414</v>
      </c>
      <c r="G19" s="23">
        <v>0.0</v>
      </c>
      <c r="H19" s="16">
        <v>5428307.0</v>
      </c>
      <c r="I19" s="16" t="s">
        <v>379</v>
      </c>
      <c r="J19" s="48">
        <v>46052.0</v>
      </c>
      <c r="L19" s="16" t="s">
        <v>381</v>
      </c>
      <c r="M19" s="16" t="s">
        <v>415</v>
      </c>
      <c r="N19" s="16">
        <v>3.77</v>
      </c>
    </row>
    <row r="20">
      <c r="A20" s="34" t="s">
        <v>379</v>
      </c>
      <c r="B20" s="48">
        <v>46052.0</v>
      </c>
      <c r="D20" s="16" t="s">
        <v>383</v>
      </c>
      <c r="E20" s="16" t="s">
        <v>416</v>
      </c>
      <c r="G20" s="16">
        <v>506.44</v>
      </c>
      <c r="H20" s="16">
        <v>8890731.0</v>
      </c>
      <c r="I20" s="16" t="s">
        <v>379</v>
      </c>
      <c r="J20" s="48">
        <v>46052.0</v>
      </c>
      <c r="L20" s="16" t="s">
        <v>381</v>
      </c>
      <c r="M20" s="16" t="s">
        <v>417</v>
      </c>
      <c r="N20" s="16">
        <v>93.18</v>
      </c>
    </row>
    <row r="21">
      <c r="A21" s="34" t="s">
        <v>379</v>
      </c>
      <c r="B21" s="48">
        <v>46052.0</v>
      </c>
      <c r="D21" s="16" t="s">
        <v>383</v>
      </c>
      <c r="E21" s="16" t="s">
        <v>418</v>
      </c>
      <c r="G21" s="16">
        <v>0.0</v>
      </c>
      <c r="H21" s="16">
        <v>8890731.0</v>
      </c>
      <c r="I21" s="16" t="s">
        <v>379</v>
      </c>
      <c r="J21" s="48">
        <v>46052.0</v>
      </c>
      <c r="L21" s="16" t="s">
        <v>381</v>
      </c>
      <c r="M21" s="16" t="s">
        <v>419</v>
      </c>
      <c r="N21" s="16">
        <v>0.94</v>
      </c>
    </row>
    <row r="22">
      <c r="A22" s="34" t="s">
        <v>379</v>
      </c>
      <c r="B22" s="48">
        <v>46052.0</v>
      </c>
      <c r="D22" s="16" t="s">
        <v>383</v>
      </c>
      <c r="E22" s="16" t="s">
        <v>420</v>
      </c>
      <c r="G22" s="23">
        <v>1451.4</v>
      </c>
      <c r="H22" s="16">
        <v>8932967.0</v>
      </c>
      <c r="I22" s="16" t="s">
        <v>379</v>
      </c>
      <c r="J22" s="48">
        <v>46052.0</v>
      </c>
      <c r="L22" s="16" t="s">
        <v>381</v>
      </c>
      <c r="M22" s="16" t="s">
        <v>421</v>
      </c>
      <c r="N22" s="16">
        <v>267.06</v>
      </c>
    </row>
    <row r="23">
      <c r="A23" s="34" t="s">
        <v>379</v>
      </c>
      <c r="B23" s="48">
        <v>46052.0</v>
      </c>
      <c r="D23" s="16" t="s">
        <v>383</v>
      </c>
      <c r="E23" s="16" t="s">
        <v>422</v>
      </c>
      <c r="G23" s="16">
        <v>0.0</v>
      </c>
      <c r="H23" s="16">
        <v>8932967.0</v>
      </c>
      <c r="I23" s="16" t="s">
        <v>379</v>
      </c>
      <c r="J23" s="48">
        <v>46052.0</v>
      </c>
      <c r="L23" s="16" t="s">
        <v>381</v>
      </c>
      <c r="M23" s="16" t="s">
        <v>423</v>
      </c>
      <c r="N23" s="16">
        <v>2.82</v>
      </c>
    </row>
    <row r="24">
      <c r="A24" s="34" t="s">
        <v>379</v>
      </c>
      <c r="B24" s="48">
        <v>46052.0</v>
      </c>
      <c r="D24" s="16" t="s">
        <v>383</v>
      </c>
      <c r="E24" s="16" t="s">
        <v>424</v>
      </c>
      <c r="G24" s="23">
        <v>1294.6</v>
      </c>
      <c r="H24" s="16">
        <v>8912175.0</v>
      </c>
      <c r="I24" s="16" t="s">
        <v>379</v>
      </c>
      <c r="J24" s="48">
        <v>46052.0</v>
      </c>
      <c r="L24" s="16" t="s">
        <v>381</v>
      </c>
      <c r="M24" s="16" t="s">
        <v>425</v>
      </c>
      <c r="N24" s="16">
        <v>238.2</v>
      </c>
    </row>
    <row r="25">
      <c r="A25" s="34" t="s">
        <v>379</v>
      </c>
      <c r="B25" s="48">
        <v>46052.0</v>
      </c>
      <c r="D25" s="16" t="s">
        <v>383</v>
      </c>
      <c r="E25" s="16" t="s">
        <v>426</v>
      </c>
      <c r="G25" s="23">
        <v>2080.8</v>
      </c>
      <c r="H25" s="16">
        <v>9315439.0</v>
      </c>
      <c r="I25" s="16" t="s">
        <v>379</v>
      </c>
      <c r="J25" s="48">
        <v>46052.0</v>
      </c>
      <c r="L25" s="16" t="s">
        <v>381</v>
      </c>
      <c r="M25" s="16" t="s">
        <v>427</v>
      </c>
      <c r="N25" s="16">
        <v>382.87</v>
      </c>
    </row>
    <row r="26">
      <c r="A26" s="34" t="s">
        <v>379</v>
      </c>
      <c r="B26" s="48">
        <v>46052.0</v>
      </c>
      <c r="D26" s="16" t="s">
        <v>383</v>
      </c>
      <c r="E26" s="16" t="s">
        <v>428</v>
      </c>
      <c r="G26" s="23">
        <v>5083.85</v>
      </c>
      <c r="H26" s="16">
        <v>8630313.0</v>
      </c>
      <c r="I26" s="16" t="s">
        <v>379</v>
      </c>
      <c r="J26" s="48">
        <v>46052.0</v>
      </c>
      <c r="L26" s="16" t="s">
        <v>381</v>
      </c>
      <c r="M26" s="16" t="s">
        <v>429</v>
      </c>
      <c r="N26" s="16">
        <v>935.42</v>
      </c>
    </row>
    <row r="27">
      <c r="A27" s="34" t="s">
        <v>379</v>
      </c>
      <c r="B27" s="48">
        <v>46052.0</v>
      </c>
      <c r="D27" s="16" t="s">
        <v>383</v>
      </c>
      <c r="E27" s="16" t="s">
        <v>430</v>
      </c>
      <c r="G27" s="16">
        <v>831.61</v>
      </c>
      <c r="H27" s="16">
        <v>8891875.0</v>
      </c>
      <c r="I27" s="16" t="s">
        <v>379</v>
      </c>
      <c r="J27" s="48">
        <v>46052.0</v>
      </c>
      <c r="L27" s="16" t="s">
        <v>381</v>
      </c>
      <c r="M27" s="16" t="s">
        <v>431</v>
      </c>
      <c r="N27" s="16">
        <v>153.01</v>
      </c>
    </row>
    <row r="28">
      <c r="A28" s="34" t="s">
        <v>379</v>
      </c>
      <c r="B28" s="48">
        <v>46052.0</v>
      </c>
      <c r="D28" s="16" t="s">
        <v>383</v>
      </c>
      <c r="E28" s="16" t="s">
        <v>432</v>
      </c>
      <c r="G28" s="16">
        <v>-23.4</v>
      </c>
      <c r="H28" s="16">
        <v>8891875.0</v>
      </c>
      <c r="I28" s="16" t="s">
        <v>379</v>
      </c>
      <c r="J28" s="48">
        <v>46052.0</v>
      </c>
      <c r="L28" s="16" t="s">
        <v>381</v>
      </c>
      <c r="M28" s="16" t="s">
        <v>433</v>
      </c>
      <c r="N28" s="16">
        <v>-0.33</v>
      </c>
    </row>
    <row r="29">
      <c r="A29" s="34" t="s">
        <v>379</v>
      </c>
      <c r="B29" s="48">
        <v>46052.0</v>
      </c>
      <c r="D29" s="16" t="s">
        <v>383</v>
      </c>
      <c r="E29" s="16" t="s">
        <v>434</v>
      </c>
      <c r="G29" s="23">
        <v>2841.3</v>
      </c>
      <c r="H29" s="16">
        <v>1.0834518E7</v>
      </c>
      <c r="I29" s="16" t="s">
        <v>379</v>
      </c>
      <c r="J29" s="48">
        <v>46052.0</v>
      </c>
      <c r="L29" s="16" t="s">
        <v>381</v>
      </c>
      <c r="M29" s="16" t="s">
        <v>435</v>
      </c>
      <c r="N29" s="16">
        <v>0.0</v>
      </c>
    </row>
    <row r="30">
      <c r="A30" s="34" t="s">
        <v>379</v>
      </c>
      <c r="B30" s="48">
        <v>46052.0</v>
      </c>
      <c r="D30" s="16" t="s">
        <v>383</v>
      </c>
      <c r="E30" s="16" t="s">
        <v>436</v>
      </c>
      <c r="G30" s="23">
        <v>1809.9</v>
      </c>
      <c r="H30" s="16">
        <v>9698873.0</v>
      </c>
      <c r="I30" s="16" t="s">
        <v>379</v>
      </c>
      <c r="J30" s="48">
        <v>46052.0</v>
      </c>
      <c r="L30" s="16" t="s">
        <v>381</v>
      </c>
      <c r="M30" s="16" t="s">
        <v>437</v>
      </c>
      <c r="N30" s="16">
        <v>0.0</v>
      </c>
    </row>
    <row r="31">
      <c r="A31" s="34" t="s">
        <v>379</v>
      </c>
      <c r="B31" s="48">
        <v>46052.0</v>
      </c>
      <c r="D31" s="16" t="s">
        <v>383</v>
      </c>
      <c r="E31" s="16" t="s">
        <v>438</v>
      </c>
      <c r="G31" s="23">
        <v>1377.0</v>
      </c>
      <c r="H31" s="16">
        <v>9698873.0</v>
      </c>
      <c r="I31" s="16" t="s">
        <v>379</v>
      </c>
      <c r="J31" s="48">
        <v>46052.0</v>
      </c>
      <c r="L31" s="16" t="s">
        <v>381</v>
      </c>
      <c r="M31" s="16" t="s">
        <v>439</v>
      </c>
      <c r="N31" s="16">
        <v>0.0</v>
      </c>
    </row>
    <row r="32">
      <c r="A32" s="34" t="s">
        <v>379</v>
      </c>
      <c r="B32" s="48">
        <v>46052.0</v>
      </c>
      <c r="D32" s="16" t="s">
        <v>383</v>
      </c>
      <c r="E32" s="16" t="s">
        <v>440</v>
      </c>
      <c r="G32" s="23">
        <v>2627.1</v>
      </c>
      <c r="H32" s="16">
        <v>9743490.0</v>
      </c>
      <c r="I32" s="16" t="s">
        <v>379</v>
      </c>
      <c r="J32" s="48">
        <v>46052.0</v>
      </c>
      <c r="L32" s="16" t="s">
        <v>381</v>
      </c>
      <c r="M32" s="16" t="s">
        <v>441</v>
      </c>
      <c r="N32" s="16">
        <v>0.0</v>
      </c>
    </row>
    <row r="33">
      <c r="A33" s="34" t="s">
        <v>379</v>
      </c>
      <c r="B33" s="48">
        <v>46052.0</v>
      </c>
      <c r="D33" s="16" t="s">
        <v>383</v>
      </c>
      <c r="E33" s="16" t="s">
        <v>442</v>
      </c>
      <c r="G33" s="23">
        <v>1474.2</v>
      </c>
      <c r="H33" s="16">
        <v>9743490.0</v>
      </c>
      <c r="I33" s="16" t="s">
        <v>379</v>
      </c>
      <c r="J33" s="48">
        <v>46052.0</v>
      </c>
      <c r="L33" s="16" t="s">
        <v>381</v>
      </c>
      <c r="M33" s="16" t="s">
        <v>443</v>
      </c>
      <c r="N33" s="16">
        <v>0.0</v>
      </c>
    </row>
    <row r="34">
      <c r="A34" s="34" t="s">
        <v>379</v>
      </c>
      <c r="B34" s="48">
        <v>46052.0</v>
      </c>
      <c r="D34" s="16" t="s">
        <v>383</v>
      </c>
      <c r="E34" s="16" t="s">
        <v>444</v>
      </c>
      <c r="G34" s="23">
        <v>4309.2</v>
      </c>
      <c r="H34" s="16">
        <v>1.2621239E7</v>
      </c>
      <c r="I34" s="16" t="s">
        <v>379</v>
      </c>
      <c r="J34" s="48">
        <v>46052.0</v>
      </c>
      <c r="L34" s="16" t="s">
        <v>381</v>
      </c>
      <c r="M34" s="16" t="s">
        <v>445</v>
      </c>
      <c r="N34" s="16">
        <v>792.89</v>
      </c>
    </row>
    <row r="35">
      <c r="A35" s="34" t="s">
        <v>379</v>
      </c>
      <c r="B35" s="48">
        <v>46052.0</v>
      </c>
      <c r="D35" s="16" t="s">
        <v>383</v>
      </c>
      <c r="E35" s="16" t="s">
        <v>446</v>
      </c>
      <c r="G35" s="23">
        <v>493.2</v>
      </c>
      <c r="H35" s="16">
        <v>6279727.0</v>
      </c>
      <c r="I35" s="16" t="s">
        <v>379</v>
      </c>
      <c r="J35" s="48">
        <v>46052.0</v>
      </c>
      <c r="L35" s="16" t="s">
        <v>381</v>
      </c>
      <c r="M35" s="16" t="s">
        <v>447</v>
      </c>
      <c r="N35" s="16">
        <v>90.74</v>
      </c>
    </row>
    <row r="36">
      <c r="A36" s="34" t="s">
        <v>379</v>
      </c>
      <c r="B36" s="48">
        <v>46052.0</v>
      </c>
      <c r="D36" s="16" t="s">
        <v>383</v>
      </c>
      <c r="E36" s="16" t="s">
        <v>448</v>
      </c>
      <c r="G36" s="23">
        <v>774.9</v>
      </c>
      <c r="H36" s="16">
        <v>6279727.0</v>
      </c>
      <c r="I36" s="16" t="s">
        <v>379</v>
      </c>
      <c r="J36" s="48">
        <v>46052.0</v>
      </c>
      <c r="L36" s="16" t="s">
        <v>381</v>
      </c>
      <c r="M36" s="16" t="s">
        <v>449</v>
      </c>
      <c r="N36" s="16">
        <v>142.58</v>
      </c>
    </row>
    <row r="37">
      <c r="A37" s="34" t="s">
        <v>379</v>
      </c>
      <c r="B37" s="48">
        <v>46052.0</v>
      </c>
      <c r="D37" s="16" t="s">
        <v>383</v>
      </c>
      <c r="E37" s="16" t="s">
        <v>450</v>
      </c>
      <c r="G37" s="23">
        <v>2859.3</v>
      </c>
      <c r="H37" s="16">
        <v>6279727.0</v>
      </c>
      <c r="I37" s="16" t="s">
        <v>379</v>
      </c>
      <c r="J37" s="48">
        <v>46052.0</v>
      </c>
      <c r="L37" s="16" t="s">
        <v>381</v>
      </c>
      <c r="M37" s="16" t="s">
        <v>451</v>
      </c>
      <c r="N37" s="16">
        <v>526.11</v>
      </c>
    </row>
    <row r="38">
      <c r="A38" s="34" t="s">
        <v>379</v>
      </c>
      <c r="B38" s="48">
        <v>46052.0</v>
      </c>
      <c r="D38" s="16" t="s">
        <v>383</v>
      </c>
      <c r="E38" s="16" t="s">
        <v>452</v>
      </c>
      <c r="G38" s="23">
        <v>0.0</v>
      </c>
      <c r="H38" s="16">
        <v>6279727.0</v>
      </c>
      <c r="I38" s="16" t="s">
        <v>379</v>
      </c>
      <c r="J38" s="48">
        <v>46052.0</v>
      </c>
      <c r="L38" s="16" t="s">
        <v>381</v>
      </c>
      <c r="M38" s="16" t="s">
        <v>453</v>
      </c>
      <c r="N38" s="16">
        <v>2.79</v>
      </c>
    </row>
    <row r="39">
      <c r="A39" s="34" t="s">
        <v>379</v>
      </c>
      <c r="B39" s="48">
        <v>46052.0</v>
      </c>
      <c r="D39" s="16" t="s">
        <v>383</v>
      </c>
      <c r="E39" s="16" t="s">
        <v>454</v>
      </c>
      <c r="G39" s="23">
        <v>2378.7</v>
      </c>
      <c r="H39" s="16">
        <v>1.0290113E7</v>
      </c>
      <c r="I39" s="16" t="s">
        <v>379</v>
      </c>
      <c r="J39" s="48">
        <v>46052.0</v>
      </c>
      <c r="L39" s="16" t="s">
        <v>381</v>
      </c>
      <c r="M39" s="16" t="s">
        <v>455</v>
      </c>
      <c r="N39" s="16">
        <v>0.0</v>
      </c>
    </row>
    <row r="40">
      <c r="A40" s="34" t="s">
        <v>379</v>
      </c>
      <c r="B40" s="48">
        <v>46052.0</v>
      </c>
      <c r="D40" s="16" t="s">
        <v>383</v>
      </c>
      <c r="E40" s="16" t="s">
        <v>456</v>
      </c>
      <c r="G40" s="23">
        <v>1546.2</v>
      </c>
      <c r="H40" s="16">
        <v>9281073.0</v>
      </c>
      <c r="I40" s="16" t="s">
        <v>379</v>
      </c>
      <c r="J40" s="48">
        <v>46052.0</v>
      </c>
      <c r="L40" s="16" t="s">
        <v>381</v>
      </c>
      <c r="M40" s="16" t="s">
        <v>457</v>
      </c>
      <c r="N40" s="16">
        <v>0.0</v>
      </c>
    </row>
    <row r="41">
      <c r="A41" s="34" t="s">
        <v>379</v>
      </c>
      <c r="B41" s="48">
        <v>46052.0</v>
      </c>
      <c r="D41" s="16" t="s">
        <v>383</v>
      </c>
      <c r="E41" s="16" t="s">
        <v>458</v>
      </c>
      <c r="G41" s="23">
        <v>2058.62</v>
      </c>
      <c r="H41" s="16">
        <v>9283805.0</v>
      </c>
      <c r="I41" s="16" t="s">
        <v>379</v>
      </c>
      <c r="J41" s="48">
        <v>46052.0</v>
      </c>
      <c r="L41" s="16" t="s">
        <v>381</v>
      </c>
      <c r="M41" s="16" t="s">
        <v>459</v>
      </c>
      <c r="N41" s="16">
        <v>0.0</v>
      </c>
    </row>
    <row r="42">
      <c r="A42" s="34" t="s">
        <v>379</v>
      </c>
      <c r="B42" s="48">
        <v>46052.0</v>
      </c>
      <c r="D42" s="16" t="s">
        <v>383</v>
      </c>
      <c r="E42" s="16" t="s">
        <v>460</v>
      </c>
      <c r="G42" s="23">
        <v>-15.6</v>
      </c>
      <c r="H42" s="16">
        <v>9283805.0</v>
      </c>
      <c r="I42" s="16" t="s">
        <v>379</v>
      </c>
      <c r="J42" s="48">
        <v>46052.0</v>
      </c>
      <c r="L42" s="16" t="s">
        <v>381</v>
      </c>
      <c r="M42" s="16" t="s">
        <v>461</v>
      </c>
      <c r="N42" s="16">
        <v>0.0</v>
      </c>
    </row>
    <row r="43">
      <c r="A43" s="34" t="s">
        <v>379</v>
      </c>
      <c r="B43" s="48">
        <v>46052.0</v>
      </c>
      <c r="D43" s="16" t="s">
        <v>383</v>
      </c>
      <c r="E43" s="16" t="s">
        <v>462</v>
      </c>
      <c r="G43" s="23">
        <v>1049.4</v>
      </c>
      <c r="H43" s="16">
        <v>8936250.0</v>
      </c>
      <c r="I43" s="16" t="s">
        <v>379</v>
      </c>
      <c r="J43" s="48">
        <v>46052.0</v>
      </c>
      <c r="L43" s="16" t="s">
        <v>381</v>
      </c>
      <c r="M43" s="16" t="s">
        <v>463</v>
      </c>
      <c r="N43" s="16">
        <v>193.09</v>
      </c>
    </row>
    <row r="44">
      <c r="A44" s="34" t="s">
        <v>379</v>
      </c>
      <c r="B44" s="48">
        <v>46052.0</v>
      </c>
      <c r="D44" s="16" t="s">
        <v>383</v>
      </c>
      <c r="E44" s="16" t="s">
        <v>464</v>
      </c>
      <c r="G44" s="23">
        <v>0.0</v>
      </c>
      <c r="H44" s="16">
        <v>8936250.0</v>
      </c>
      <c r="I44" s="16" t="s">
        <v>379</v>
      </c>
      <c r="J44" s="48">
        <v>46052.0</v>
      </c>
      <c r="L44" s="16" t="s">
        <v>381</v>
      </c>
      <c r="M44" s="16" t="s">
        <v>465</v>
      </c>
      <c r="N44" s="16">
        <v>2.81</v>
      </c>
    </row>
    <row r="45">
      <c r="A45" s="34" t="s">
        <v>379</v>
      </c>
      <c r="B45" s="48">
        <v>46052.0</v>
      </c>
      <c r="D45" s="16" t="s">
        <v>383</v>
      </c>
      <c r="E45" s="16" t="s">
        <v>466</v>
      </c>
      <c r="G45" s="23">
        <v>1291.5</v>
      </c>
      <c r="H45" s="16">
        <v>9283763.0</v>
      </c>
      <c r="I45" s="16" t="s">
        <v>379</v>
      </c>
      <c r="J45" s="48">
        <v>46052.0</v>
      </c>
      <c r="L45" s="16" t="s">
        <v>381</v>
      </c>
      <c r="M45" s="16" t="s">
        <v>467</v>
      </c>
      <c r="N45" s="16">
        <v>237.64</v>
      </c>
    </row>
    <row r="46">
      <c r="A46" s="34" t="s">
        <v>379</v>
      </c>
      <c r="B46" s="48">
        <v>46052.0</v>
      </c>
      <c r="D46" s="16" t="s">
        <v>383</v>
      </c>
      <c r="E46" s="16" t="s">
        <v>468</v>
      </c>
      <c r="G46" s="23">
        <v>7218.9</v>
      </c>
      <c r="H46" s="16">
        <v>1.1120381E7</v>
      </c>
      <c r="I46" s="16" t="s">
        <v>379</v>
      </c>
      <c r="J46" s="48">
        <v>46052.0</v>
      </c>
      <c r="L46" s="16" t="s">
        <v>381</v>
      </c>
      <c r="M46" s="16" t="s">
        <v>469</v>
      </c>
      <c r="N46" s="23">
        <v>1328.27</v>
      </c>
    </row>
    <row r="47">
      <c r="A47" s="34" t="s">
        <v>379</v>
      </c>
      <c r="B47" s="48">
        <v>46052.0</v>
      </c>
      <c r="D47" s="16" t="s">
        <v>383</v>
      </c>
      <c r="E47" s="16" t="s">
        <v>470</v>
      </c>
      <c r="G47" s="23">
        <v>1866.0</v>
      </c>
      <c r="H47" s="16">
        <v>8888141.0</v>
      </c>
      <c r="I47" s="16" t="s">
        <v>379</v>
      </c>
      <c r="J47" s="48">
        <v>46052.0</v>
      </c>
      <c r="L47" s="16" t="s">
        <v>381</v>
      </c>
      <c r="M47" s="16" t="s">
        <v>471</v>
      </c>
      <c r="N47" s="16">
        <v>343.34</v>
      </c>
    </row>
    <row r="48">
      <c r="A48" s="34" t="s">
        <v>379</v>
      </c>
      <c r="B48" s="48">
        <v>46052.0</v>
      </c>
      <c r="D48" s="16" t="s">
        <v>383</v>
      </c>
      <c r="E48" s="16" t="s">
        <v>472</v>
      </c>
      <c r="G48" s="23">
        <v>1049.0</v>
      </c>
      <c r="H48" s="16">
        <v>9416623.0</v>
      </c>
      <c r="I48" s="16" t="s">
        <v>379</v>
      </c>
      <c r="J48" s="48">
        <v>46052.0</v>
      </c>
      <c r="L48" s="16" t="s">
        <v>381</v>
      </c>
      <c r="M48" s="16" t="s">
        <v>473</v>
      </c>
      <c r="N48" s="16">
        <v>193.02</v>
      </c>
    </row>
    <row r="49">
      <c r="A49" s="34" t="s">
        <v>379</v>
      </c>
      <c r="B49" s="48">
        <v>46052.0</v>
      </c>
      <c r="D49" s="16" t="s">
        <v>383</v>
      </c>
      <c r="E49" s="16" t="s">
        <v>474</v>
      </c>
      <c r="G49" s="23">
        <v>999.9</v>
      </c>
      <c r="H49" s="16">
        <v>9416623.0</v>
      </c>
      <c r="I49" s="16" t="s">
        <v>379</v>
      </c>
      <c r="J49" s="48">
        <v>46052.0</v>
      </c>
      <c r="L49" s="16" t="s">
        <v>381</v>
      </c>
      <c r="M49" s="16" t="s">
        <v>475</v>
      </c>
      <c r="N49" s="16">
        <v>183.98</v>
      </c>
    </row>
    <row r="50">
      <c r="A50" s="34" t="s">
        <v>379</v>
      </c>
      <c r="B50" s="48">
        <v>46052.0</v>
      </c>
      <c r="D50" s="16" t="s">
        <v>383</v>
      </c>
      <c r="E50" s="16" t="s">
        <v>476</v>
      </c>
      <c r="G50" s="23">
        <v>3012.3</v>
      </c>
      <c r="H50" s="16">
        <v>1.2621277E7</v>
      </c>
      <c r="I50" s="16" t="s">
        <v>379</v>
      </c>
      <c r="J50" s="48">
        <v>46052.0</v>
      </c>
      <c r="L50" s="16" t="s">
        <v>381</v>
      </c>
      <c r="M50" s="16" t="s">
        <v>477</v>
      </c>
      <c r="N50" s="16">
        <v>554.26</v>
      </c>
    </row>
    <row r="51">
      <c r="A51" s="34" t="s">
        <v>379</v>
      </c>
      <c r="B51" s="48">
        <v>46052.0</v>
      </c>
      <c r="D51" s="16" t="s">
        <v>383</v>
      </c>
      <c r="E51" s="16" t="s">
        <v>478</v>
      </c>
      <c r="G51" s="23">
        <v>1701.9</v>
      </c>
      <c r="H51" s="16">
        <v>9821659.0</v>
      </c>
      <c r="I51" s="16" t="s">
        <v>379</v>
      </c>
      <c r="J51" s="48">
        <v>46052.0</v>
      </c>
      <c r="L51" s="16" t="s">
        <v>381</v>
      </c>
      <c r="M51" s="16" t="s">
        <v>479</v>
      </c>
      <c r="N51" s="16">
        <v>0.0</v>
      </c>
    </row>
    <row r="52">
      <c r="A52" s="34" t="s">
        <v>379</v>
      </c>
      <c r="B52" s="48">
        <v>46052.0</v>
      </c>
      <c r="D52" s="16" t="s">
        <v>383</v>
      </c>
      <c r="E52" s="16" t="s">
        <v>480</v>
      </c>
      <c r="G52" s="23">
        <v>648.0</v>
      </c>
      <c r="H52" s="16">
        <v>3788797.0</v>
      </c>
      <c r="I52" s="16" t="s">
        <v>379</v>
      </c>
      <c r="J52" s="48">
        <v>46052.0</v>
      </c>
      <c r="L52" s="16" t="s">
        <v>381</v>
      </c>
      <c r="M52" s="16" t="s">
        <v>481</v>
      </c>
      <c r="N52" s="16">
        <v>119.23</v>
      </c>
    </row>
    <row r="53">
      <c r="A53" s="34" t="s">
        <v>379</v>
      </c>
      <c r="B53" s="48">
        <v>46052.0</v>
      </c>
      <c r="D53" s="16" t="s">
        <v>383</v>
      </c>
      <c r="E53" s="16" t="s">
        <v>482</v>
      </c>
      <c r="G53" s="23">
        <v>1309.5</v>
      </c>
      <c r="H53" s="16">
        <v>3788797.0</v>
      </c>
      <c r="I53" s="16" t="s">
        <v>379</v>
      </c>
      <c r="J53" s="48">
        <v>46052.0</v>
      </c>
      <c r="L53" s="16" t="s">
        <v>381</v>
      </c>
      <c r="M53" s="16" t="s">
        <v>483</v>
      </c>
      <c r="N53" s="16">
        <v>240.95</v>
      </c>
    </row>
    <row r="54">
      <c r="A54" s="34" t="s">
        <v>379</v>
      </c>
      <c r="B54" s="48">
        <v>46052.0</v>
      </c>
      <c r="D54" s="16" t="s">
        <v>383</v>
      </c>
      <c r="E54" s="16" t="s">
        <v>484</v>
      </c>
      <c r="G54" s="23">
        <v>1438.12</v>
      </c>
      <c r="H54" s="16">
        <v>8668004.0</v>
      </c>
      <c r="I54" s="16" t="s">
        <v>379</v>
      </c>
      <c r="J54" s="48">
        <v>46052.0</v>
      </c>
      <c r="L54" s="16" t="s">
        <v>381</v>
      </c>
      <c r="M54" s="16" t="s">
        <v>485</v>
      </c>
      <c r="N54" s="16">
        <v>264.61</v>
      </c>
    </row>
    <row r="55">
      <c r="A55" s="34" t="s">
        <v>379</v>
      </c>
      <c r="B55" s="48">
        <v>46052.0</v>
      </c>
      <c r="D55" s="16" t="s">
        <v>383</v>
      </c>
      <c r="E55" s="16" t="s">
        <v>486</v>
      </c>
      <c r="G55" s="23">
        <v>819.45</v>
      </c>
      <c r="H55" s="16">
        <v>8668004.0</v>
      </c>
      <c r="I55" s="16" t="s">
        <v>379</v>
      </c>
      <c r="J55" s="48">
        <v>46052.0</v>
      </c>
      <c r="L55" s="16" t="s">
        <v>381</v>
      </c>
      <c r="M55" s="16" t="s">
        <v>487</v>
      </c>
      <c r="N55" s="16">
        <v>150.78</v>
      </c>
    </row>
    <row r="56">
      <c r="A56" s="34" t="s">
        <v>379</v>
      </c>
      <c r="B56" s="48">
        <v>46052.0</v>
      </c>
      <c r="D56" s="16" t="s">
        <v>383</v>
      </c>
      <c r="E56" s="16" t="s">
        <v>488</v>
      </c>
      <c r="G56" s="23">
        <v>675.0</v>
      </c>
      <c r="H56" s="16">
        <v>1.0811114E7</v>
      </c>
      <c r="I56" s="16" t="s">
        <v>379</v>
      </c>
      <c r="J56" s="48">
        <v>46052.0</v>
      </c>
      <c r="L56" s="16" t="s">
        <v>381</v>
      </c>
      <c r="M56" s="16" t="s">
        <v>489</v>
      </c>
      <c r="N56" s="16">
        <v>0.0</v>
      </c>
    </row>
    <row r="57">
      <c r="A57" s="34" t="s">
        <v>379</v>
      </c>
      <c r="B57" s="48">
        <v>46052.0</v>
      </c>
      <c r="D57" s="16" t="s">
        <v>383</v>
      </c>
      <c r="E57" s="16" t="s">
        <v>490</v>
      </c>
      <c r="G57" s="23">
        <v>1577.7</v>
      </c>
      <c r="H57" s="16">
        <v>1.0811114E7</v>
      </c>
      <c r="I57" s="16" t="s">
        <v>379</v>
      </c>
      <c r="J57" s="48">
        <v>46052.0</v>
      </c>
      <c r="L57" s="16" t="s">
        <v>381</v>
      </c>
      <c r="M57" s="16" t="s">
        <v>491</v>
      </c>
      <c r="N57" s="16">
        <v>0.0</v>
      </c>
    </row>
    <row r="58">
      <c r="A58" s="34" t="s">
        <v>379</v>
      </c>
      <c r="B58" s="48">
        <v>46052.0</v>
      </c>
      <c r="D58" s="16" t="s">
        <v>383</v>
      </c>
      <c r="E58" s="16" t="s">
        <v>492</v>
      </c>
      <c r="G58" s="23">
        <v>570.6</v>
      </c>
      <c r="H58" s="16">
        <v>1.0811114E7</v>
      </c>
      <c r="I58" s="16" t="s">
        <v>379</v>
      </c>
      <c r="J58" s="48">
        <v>46052.0</v>
      </c>
      <c r="L58" s="16" t="s">
        <v>381</v>
      </c>
      <c r="M58" s="16" t="s">
        <v>493</v>
      </c>
      <c r="N58" s="16">
        <v>0.0</v>
      </c>
    </row>
    <row r="59">
      <c r="A59" s="34" t="s">
        <v>379</v>
      </c>
      <c r="B59" s="48">
        <v>46052.0</v>
      </c>
      <c r="D59" s="16" t="s">
        <v>383</v>
      </c>
      <c r="E59" s="16" t="s">
        <v>494</v>
      </c>
      <c r="G59" s="23">
        <v>1072.44</v>
      </c>
      <c r="H59" s="16">
        <v>1.1046773E7</v>
      </c>
      <c r="I59" s="16" t="s">
        <v>379</v>
      </c>
      <c r="J59" s="48">
        <v>46052.0</v>
      </c>
      <c r="L59" s="16" t="s">
        <v>381</v>
      </c>
      <c r="M59" s="16" t="s">
        <v>495</v>
      </c>
      <c r="N59" s="16">
        <v>197.32</v>
      </c>
    </row>
    <row r="60">
      <c r="A60" s="34" t="s">
        <v>379</v>
      </c>
      <c r="B60" s="48">
        <v>46052.0</v>
      </c>
      <c r="D60" s="16" t="s">
        <v>383</v>
      </c>
      <c r="E60" s="16" t="s">
        <v>496</v>
      </c>
      <c r="G60" s="23">
        <v>1678.38</v>
      </c>
      <c r="H60" s="16">
        <v>1.1046773E7</v>
      </c>
      <c r="I60" s="16" t="s">
        <v>379</v>
      </c>
      <c r="J60" s="48">
        <v>46052.0</v>
      </c>
      <c r="L60" s="16" t="s">
        <v>381</v>
      </c>
      <c r="M60" s="16" t="s">
        <v>497</v>
      </c>
      <c r="N60" s="16">
        <v>308.82</v>
      </c>
    </row>
    <row r="61">
      <c r="A61" s="34" t="s">
        <v>379</v>
      </c>
      <c r="B61" s="48">
        <v>46052.0</v>
      </c>
      <c r="D61" s="16" t="s">
        <v>383</v>
      </c>
      <c r="E61" s="16" t="s">
        <v>498</v>
      </c>
      <c r="G61" s="23">
        <v>504.0</v>
      </c>
      <c r="H61" s="16">
        <v>1.0209443E7</v>
      </c>
      <c r="I61" s="16" t="s">
        <v>379</v>
      </c>
      <c r="J61" s="48">
        <v>46052.0</v>
      </c>
      <c r="L61" s="16" t="s">
        <v>381</v>
      </c>
      <c r="M61" s="16" t="s">
        <v>499</v>
      </c>
      <c r="N61" s="16">
        <v>0.0</v>
      </c>
    </row>
    <row r="62">
      <c r="A62" s="34" t="s">
        <v>379</v>
      </c>
      <c r="B62" s="48">
        <v>46052.0</v>
      </c>
      <c r="D62" s="16" t="s">
        <v>383</v>
      </c>
      <c r="E62" s="16" t="s">
        <v>500</v>
      </c>
      <c r="G62" s="16">
        <v>513.0</v>
      </c>
      <c r="H62" s="16">
        <v>3788752.0</v>
      </c>
      <c r="I62" s="16" t="s">
        <v>379</v>
      </c>
      <c r="J62" s="48">
        <v>46052.0</v>
      </c>
      <c r="L62" s="16" t="s">
        <v>381</v>
      </c>
      <c r="M62" s="16" t="s">
        <v>501</v>
      </c>
      <c r="N62" s="16">
        <v>94.39</v>
      </c>
    </row>
    <row r="63">
      <c r="A63" s="34" t="s">
        <v>379</v>
      </c>
      <c r="B63" s="48">
        <v>46052.0</v>
      </c>
      <c r="D63" s="16" t="s">
        <v>383</v>
      </c>
      <c r="E63" s="16" t="s">
        <v>502</v>
      </c>
      <c r="G63" s="23">
        <v>1305.0</v>
      </c>
      <c r="H63" s="16">
        <v>3788752.0</v>
      </c>
      <c r="I63" s="16" t="s">
        <v>379</v>
      </c>
      <c r="J63" s="48">
        <v>46052.0</v>
      </c>
      <c r="L63" s="16" t="s">
        <v>381</v>
      </c>
      <c r="M63" s="16" t="s">
        <v>503</v>
      </c>
      <c r="N63" s="16">
        <v>240.12</v>
      </c>
    </row>
    <row r="64">
      <c r="A64" s="34" t="s">
        <v>379</v>
      </c>
      <c r="B64" s="48">
        <v>46052.0</v>
      </c>
      <c r="D64" s="16" t="s">
        <v>383</v>
      </c>
      <c r="E64" s="16" t="s">
        <v>504</v>
      </c>
      <c r="G64" s="23">
        <v>822.6</v>
      </c>
      <c r="H64" s="16">
        <v>3788752.0</v>
      </c>
      <c r="I64" s="16" t="s">
        <v>379</v>
      </c>
      <c r="J64" s="48">
        <v>46052.0</v>
      </c>
      <c r="L64" s="16" t="s">
        <v>381</v>
      </c>
      <c r="M64" s="16" t="s">
        <v>505</v>
      </c>
      <c r="N64" s="16">
        <v>151.36</v>
      </c>
    </row>
    <row r="65">
      <c r="A65" s="34" t="s">
        <v>379</v>
      </c>
      <c r="B65" s="48">
        <v>46052.0</v>
      </c>
      <c r="D65" s="16" t="s">
        <v>383</v>
      </c>
      <c r="E65" s="16" t="s">
        <v>506</v>
      </c>
      <c r="G65" s="23">
        <v>863.1</v>
      </c>
      <c r="H65" s="16">
        <v>1.0013077E7</v>
      </c>
      <c r="I65" s="16" t="s">
        <v>379</v>
      </c>
      <c r="J65" s="48">
        <v>46052.0</v>
      </c>
      <c r="L65" s="16" t="s">
        <v>381</v>
      </c>
      <c r="M65" s="16" t="s">
        <v>507</v>
      </c>
      <c r="N65" s="16">
        <v>0.0</v>
      </c>
    </row>
    <row r="66">
      <c r="A66" s="34" t="s">
        <v>379</v>
      </c>
      <c r="B66" s="48">
        <v>46052.0</v>
      </c>
      <c r="D66" s="16" t="s">
        <v>383</v>
      </c>
      <c r="E66" s="16" t="s">
        <v>508</v>
      </c>
      <c r="G66" s="16">
        <v>572.4</v>
      </c>
      <c r="H66" s="16">
        <v>9698836.0</v>
      </c>
      <c r="I66" s="16" t="s">
        <v>379</v>
      </c>
      <c r="J66" s="48">
        <v>46052.0</v>
      </c>
      <c r="L66" s="16" t="s">
        <v>381</v>
      </c>
      <c r="M66" s="16" t="s">
        <v>509</v>
      </c>
      <c r="N66" s="16">
        <v>0.0</v>
      </c>
    </row>
    <row r="67">
      <c r="A67" s="34" t="s">
        <v>379</v>
      </c>
      <c r="B67" s="48">
        <v>46052.0</v>
      </c>
      <c r="D67" s="16" t="s">
        <v>383</v>
      </c>
      <c r="E67" s="16" t="s">
        <v>510</v>
      </c>
      <c r="G67" s="23">
        <v>443.7</v>
      </c>
      <c r="H67" s="16">
        <v>9698836.0</v>
      </c>
      <c r="I67" s="16" t="s">
        <v>379</v>
      </c>
      <c r="J67" s="48">
        <v>46052.0</v>
      </c>
      <c r="L67" s="16" t="s">
        <v>381</v>
      </c>
      <c r="M67" s="16" t="s">
        <v>511</v>
      </c>
      <c r="N67" s="16">
        <v>0.0</v>
      </c>
    </row>
    <row r="68">
      <c r="A68" s="34" t="s">
        <v>379</v>
      </c>
      <c r="B68" s="48">
        <v>46052.0</v>
      </c>
      <c r="D68" s="16" t="s">
        <v>383</v>
      </c>
      <c r="E68" s="16" t="s">
        <v>512</v>
      </c>
      <c r="G68" s="16">
        <v>-15.6</v>
      </c>
      <c r="H68" s="16">
        <v>9698836.0</v>
      </c>
      <c r="I68" s="16" t="s">
        <v>379</v>
      </c>
      <c r="J68" s="48">
        <v>46052.0</v>
      </c>
      <c r="L68" s="16" t="s">
        <v>381</v>
      </c>
      <c r="M68" s="16" t="s">
        <v>513</v>
      </c>
      <c r="N68" s="16">
        <v>0.0</v>
      </c>
    </row>
    <row r="69">
      <c r="A69" s="34" t="s">
        <v>379</v>
      </c>
      <c r="B69" s="48">
        <v>46052.0</v>
      </c>
      <c r="D69" s="16" t="s">
        <v>383</v>
      </c>
      <c r="E69" s="16" t="s">
        <v>514</v>
      </c>
      <c r="G69" s="23">
        <v>-78.0</v>
      </c>
      <c r="H69" s="16">
        <v>9698836.0</v>
      </c>
      <c r="I69" s="16" t="s">
        <v>379</v>
      </c>
      <c r="J69" s="48">
        <v>46052.0</v>
      </c>
      <c r="L69" s="16" t="s">
        <v>381</v>
      </c>
      <c r="M69" s="16" t="s">
        <v>515</v>
      </c>
      <c r="N69" s="16">
        <v>0.0</v>
      </c>
    </row>
    <row r="70">
      <c r="A70" s="34" t="s">
        <v>379</v>
      </c>
      <c r="B70" s="48">
        <v>46052.0</v>
      </c>
      <c r="D70" s="16" t="s">
        <v>383</v>
      </c>
      <c r="E70" s="16" t="s">
        <v>516</v>
      </c>
      <c r="G70" s="23">
        <v>1249.2</v>
      </c>
      <c r="H70" s="16">
        <v>4605178.0</v>
      </c>
      <c r="I70" s="16" t="s">
        <v>379</v>
      </c>
      <c r="J70" s="48">
        <v>46052.0</v>
      </c>
      <c r="L70" s="16" t="s">
        <v>381</v>
      </c>
      <c r="M70" s="16" t="s">
        <v>517</v>
      </c>
      <c r="N70" s="16">
        <v>229.85</v>
      </c>
    </row>
    <row r="71">
      <c r="A71" s="34" t="s">
        <v>379</v>
      </c>
      <c r="B71" s="48">
        <v>46052.0</v>
      </c>
      <c r="D71" s="16" t="s">
        <v>383</v>
      </c>
      <c r="E71" s="16" t="s">
        <v>518</v>
      </c>
      <c r="G71" s="23">
        <v>1861.2</v>
      </c>
      <c r="H71" s="16">
        <v>9592592.0</v>
      </c>
      <c r="I71" s="16" t="s">
        <v>379</v>
      </c>
      <c r="J71" s="48">
        <v>46052.0</v>
      </c>
      <c r="L71" s="16" t="s">
        <v>381</v>
      </c>
      <c r="M71" s="16" t="s">
        <v>519</v>
      </c>
      <c r="N71" s="16">
        <v>0.0</v>
      </c>
    </row>
    <row r="72">
      <c r="A72" s="34" t="s">
        <v>379</v>
      </c>
      <c r="B72" s="48">
        <v>46052.0</v>
      </c>
      <c r="D72" s="16" t="s">
        <v>383</v>
      </c>
      <c r="E72" s="16" t="s">
        <v>520</v>
      </c>
      <c r="G72" s="23">
        <v>1758.6</v>
      </c>
      <c r="H72" s="16">
        <v>1.2486053E7</v>
      </c>
      <c r="I72" s="16" t="s">
        <v>379</v>
      </c>
      <c r="J72" s="48">
        <v>46052.0</v>
      </c>
      <c r="L72" s="16" t="s">
        <v>381</v>
      </c>
      <c r="M72" s="16" t="s">
        <v>521</v>
      </c>
      <c r="N72" s="16">
        <v>323.58</v>
      </c>
    </row>
    <row r="73">
      <c r="A73" s="34" t="s">
        <v>379</v>
      </c>
      <c r="B73" s="48">
        <v>46052.0</v>
      </c>
      <c r="D73" s="16" t="s">
        <v>383</v>
      </c>
      <c r="E73" s="16" t="s">
        <v>522</v>
      </c>
      <c r="G73" s="16">
        <v>-15.6</v>
      </c>
      <c r="H73" s="16">
        <v>1.2486053E7</v>
      </c>
      <c r="I73" s="16" t="s">
        <v>379</v>
      </c>
      <c r="J73" s="48">
        <v>46052.0</v>
      </c>
      <c r="L73" s="16" t="s">
        <v>381</v>
      </c>
      <c r="M73" s="16" t="s">
        <v>523</v>
      </c>
      <c r="N73" s="16">
        <v>-0.22</v>
      </c>
    </row>
    <row r="74">
      <c r="A74" s="34" t="s">
        <v>379</v>
      </c>
      <c r="B74" s="48">
        <v>46052.0</v>
      </c>
      <c r="D74" s="16" t="s">
        <v>383</v>
      </c>
      <c r="E74" s="16" t="s">
        <v>524</v>
      </c>
      <c r="G74" s="23">
        <v>2063.28</v>
      </c>
      <c r="H74" s="16">
        <v>8932411.0</v>
      </c>
      <c r="I74" s="16" t="s">
        <v>379</v>
      </c>
      <c r="J74" s="48">
        <v>46052.0</v>
      </c>
      <c r="L74" s="16" t="s">
        <v>381</v>
      </c>
      <c r="M74" s="16" t="s">
        <v>525</v>
      </c>
      <c r="N74" s="16">
        <v>379.65</v>
      </c>
    </row>
    <row r="75">
      <c r="A75" s="34" t="s">
        <v>379</v>
      </c>
      <c r="B75" s="48">
        <v>46052.0</v>
      </c>
      <c r="D75" s="16" t="s">
        <v>383</v>
      </c>
      <c r="E75" s="16" t="s">
        <v>526</v>
      </c>
      <c r="G75" s="16">
        <v>-10.4</v>
      </c>
      <c r="H75" s="16">
        <v>8932411.0</v>
      </c>
      <c r="I75" s="16" t="s">
        <v>379</v>
      </c>
      <c r="J75" s="48">
        <v>46052.0</v>
      </c>
      <c r="L75" s="16" t="s">
        <v>381</v>
      </c>
      <c r="M75" s="16" t="s">
        <v>527</v>
      </c>
      <c r="N75" s="16">
        <v>0.0</v>
      </c>
    </row>
    <row r="76">
      <c r="A76" s="34" t="s">
        <v>379</v>
      </c>
      <c r="B76" s="48">
        <v>46052.0</v>
      </c>
      <c r="D76" s="16" t="s">
        <v>383</v>
      </c>
      <c r="E76" s="16" t="s">
        <v>528</v>
      </c>
      <c r="G76" s="23">
        <v>663.3</v>
      </c>
      <c r="H76" s="16">
        <v>1.0668724E7</v>
      </c>
      <c r="I76" s="16" t="s">
        <v>379</v>
      </c>
      <c r="J76" s="48">
        <v>46052.0</v>
      </c>
      <c r="L76" s="16" t="s">
        <v>381</v>
      </c>
      <c r="M76" s="16" t="s">
        <v>529</v>
      </c>
      <c r="N76" s="16">
        <v>0.0</v>
      </c>
    </row>
    <row r="77">
      <c r="A77" s="34" t="s">
        <v>379</v>
      </c>
      <c r="B77" s="48">
        <v>46052.0</v>
      </c>
      <c r="D77" s="16" t="s">
        <v>383</v>
      </c>
      <c r="E77" s="16" t="s">
        <v>530</v>
      </c>
      <c r="G77" s="16">
        <v>673.2</v>
      </c>
      <c r="H77" s="16">
        <v>1.0668724E7</v>
      </c>
      <c r="I77" s="16" t="s">
        <v>379</v>
      </c>
      <c r="J77" s="48">
        <v>46052.0</v>
      </c>
      <c r="L77" s="16" t="s">
        <v>381</v>
      </c>
      <c r="M77" s="16" t="s">
        <v>531</v>
      </c>
      <c r="N77" s="16">
        <v>0.0</v>
      </c>
    </row>
    <row r="78">
      <c r="A78" s="34" t="s">
        <v>379</v>
      </c>
      <c r="B78" s="48">
        <v>46052.0</v>
      </c>
      <c r="D78" s="16" t="s">
        <v>383</v>
      </c>
      <c r="E78" s="16" t="s">
        <v>532</v>
      </c>
      <c r="G78" s="23">
        <v>1166.4</v>
      </c>
      <c r="H78" s="16">
        <v>9626274.0</v>
      </c>
      <c r="I78" s="16" t="s">
        <v>379</v>
      </c>
      <c r="J78" s="48">
        <v>46052.0</v>
      </c>
      <c r="L78" s="16" t="s">
        <v>381</v>
      </c>
      <c r="M78" s="16" t="s">
        <v>533</v>
      </c>
      <c r="N78" s="16">
        <v>0.0</v>
      </c>
    </row>
    <row r="79">
      <c r="A79" s="34" t="s">
        <v>379</v>
      </c>
      <c r="B79" s="48">
        <v>46052.0</v>
      </c>
      <c r="D79" s="16" t="s">
        <v>383</v>
      </c>
      <c r="E79" s="16" t="s">
        <v>534</v>
      </c>
      <c r="G79" s="16">
        <v>987.3</v>
      </c>
      <c r="H79" s="16">
        <v>9626274.0</v>
      </c>
      <c r="I79" s="16" t="s">
        <v>379</v>
      </c>
      <c r="J79" s="48">
        <v>46052.0</v>
      </c>
      <c r="L79" s="16" t="s">
        <v>381</v>
      </c>
      <c r="M79" s="16" t="s">
        <v>535</v>
      </c>
      <c r="N79" s="16">
        <v>0.0</v>
      </c>
    </row>
    <row r="80">
      <c r="A80" s="34" t="s">
        <v>379</v>
      </c>
      <c r="B80" s="48">
        <v>46052.0</v>
      </c>
      <c r="D80" s="16" t="s">
        <v>383</v>
      </c>
      <c r="E80" s="16" t="s">
        <v>536</v>
      </c>
      <c r="G80" s="23">
        <v>4514.4</v>
      </c>
      <c r="H80" s="16">
        <v>5042200.0</v>
      </c>
      <c r="I80" s="16" t="s">
        <v>379</v>
      </c>
      <c r="J80" s="48">
        <v>46052.0</v>
      </c>
      <c r="L80" s="16" t="s">
        <v>381</v>
      </c>
      <c r="M80" s="16" t="s">
        <v>537</v>
      </c>
      <c r="N80" s="16">
        <v>830.65</v>
      </c>
    </row>
    <row r="81">
      <c r="A81" s="34" t="s">
        <v>379</v>
      </c>
      <c r="B81" s="48">
        <v>46052.0</v>
      </c>
      <c r="D81" s="16" t="s">
        <v>383</v>
      </c>
      <c r="E81" s="16" t="s">
        <v>538</v>
      </c>
      <c r="G81" s="16">
        <v>934.56</v>
      </c>
      <c r="H81" s="16">
        <v>8935631.0</v>
      </c>
      <c r="I81" s="16" t="s">
        <v>379</v>
      </c>
      <c r="J81" s="48">
        <v>46052.0</v>
      </c>
      <c r="L81" s="16" t="s">
        <v>381</v>
      </c>
      <c r="M81" s="16" t="s">
        <v>539</v>
      </c>
      <c r="N81" s="16">
        <v>171.96</v>
      </c>
    </row>
    <row r="82">
      <c r="A82" s="34" t="s">
        <v>379</v>
      </c>
      <c r="B82" s="48">
        <v>46052.0</v>
      </c>
      <c r="D82" s="16" t="s">
        <v>383</v>
      </c>
      <c r="E82" s="16" t="s">
        <v>540</v>
      </c>
      <c r="G82" s="23">
        <v>4472.42</v>
      </c>
      <c r="H82" s="16">
        <v>8935631.0</v>
      </c>
      <c r="I82" s="16" t="s">
        <v>379</v>
      </c>
      <c r="J82" s="48">
        <v>46052.0</v>
      </c>
      <c r="L82" s="16" t="s">
        <v>381</v>
      </c>
      <c r="M82" s="16" t="s">
        <v>541</v>
      </c>
      <c r="N82" s="16">
        <v>835.3</v>
      </c>
    </row>
    <row r="83">
      <c r="A83" s="34" t="s">
        <v>379</v>
      </c>
      <c r="B83" s="48">
        <v>46052.0</v>
      </c>
      <c r="D83" s="16" t="s">
        <v>383</v>
      </c>
      <c r="E83" s="16" t="s">
        <v>542</v>
      </c>
      <c r="G83" s="23">
        <v>745.2</v>
      </c>
      <c r="H83" s="16">
        <v>8935415.0</v>
      </c>
      <c r="I83" s="16" t="s">
        <v>379</v>
      </c>
      <c r="J83" s="48">
        <v>46052.0</v>
      </c>
      <c r="L83" s="16" t="s">
        <v>381</v>
      </c>
      <c r="M83" s="16" t="s">
        <v>543</v>
      </c>
      <c r="N83" s="16">
        <v>137.11</v>
      </c>
    </row>
    <row r="84">
      <c r="A84" s="34" t="s">
        <v>379</v>
      </c>
      <c r="B84" s="48">
        <v>46052.0</v>
      </c>
      <c r="D84" s="16" t="s">
        <v>383</v>
      </c>
      <c r="E84" s="16" t="s">
        <v>544</v>
      </c>
      <c r="G84" s="23">
        <v>-10.4</v>
      </c>
      <c r="H84" s="16">
        <v>8935415.0</v>
      </c>
      <c r="I84" s="16" t="s">
        <v>379</v>
      </c>
      <c r="J84" s="48">
        <v>46052.0</v>
      </c>
      <c r="L84" s="16" t="s">
        <v>381</v>
      </c>
      <c r="M84" s="16" t="s">
        <v>545</v>
      </c>
      <c r="N84" s="16">
        <v>-0.15</v>
      </c>
    </row>
    <row r="85">
      <c r="A85" s="34" t="s">
        <v>379</v>
      </c>
      <c r="B85" s="48">
        <v>46052.0</v>
      </c>
      <c r="D85" s="16" t="s">
        <v>383</v>
      </c>
      <c r="E85" s="16" t="s">
        <v>546</v>
      </c>
      <c r="G85" s="16">
        <v>621.9</v>
      </c>
      <c r="H85" s="16">
        <v>3788679.0</v>
      </c>
      <c r="I85" s="16" t="s">
        <v>379</v>
      </c>
      <c r="J85" s="48">
        <v>46052.0</v>
      </c>
      <c r="L85" s="16" t="s">
        <v>381</v>
      </c>
      <c r="M85" s="16" t="s">
        <v>547</v>
      </c>
      <c r="N85" s="16">
        <v>114.43</v>
      </c>
    </row>
    <row r="86">
      <c r="A86" s="34" t="s">
        <v>379</v>
      </c>
      <c r="B86" s="48">
        <v>46052.0</v>
      </c>
      <c r="D86" s="16" t="s">
        <v>383</v>
      </c>
      <c r="E86" s="16" t="s">
        <v>548</v>
      </c>
      <c r="G86" s="23">
        <v>0.0</v>
      </c>
      <c r="H86" s="16">
        <v>3788679.0</v>
      </c>
      <c r="I86" s="16" t="s">
        <v>379</v>
      </c>
      <c r="J86" s="48">
        <v>46052.0</v>
      </c>
      <c r="L86" s="16" t="s">
        <v>381</v>
      </c>
      <c r="M86" s="16" t="s">
        <v>549</v>
      </c>
      <c r="N86" s="16">
        <v>4.73</v>
      </c>
    </row>
    <row r="87">
      <c r="A87" s="34"/>
      <c r="B87" s="48"/>
      <c r="G87" s="23"/>
      <c r="J87" s="48"/>
    </row>
    <row r="88">
      <c r="A88" s="34"/>
      <c r="B88" s="48"/>
      <c r="G88" s="23"/>
      <c r="J88" s="48"/>
    </row>
    <row r="89">
      <c r="A89" s="34"/>
      <c r="B89" s="48"/>
      <c r="J89" s="48"/>
    </row>
    <row r="90">
      <c r="A90" s="34"/>
      <c r="B90" s="48"/>
      <c r="G90" s="23"/>
      <c r="J90" s="48"/>
    </row>
    <row r="91">
      <c r="A91" s="34"/>
      <c r="B91" s="48"/>
      <c r="G91" s="23"/>
      <c r="J91" s="48"/>
    </row>
    <row r="92">
      <c r="A92" s="34"/>
      <c r="B92" s="48"/>
      <c r="G92" s="23"/>
      <c r="J92" s="48"/>
    </row>
    <row r="93">
      <c r="A93" s="34"/>
      <c r="B93" s="48"/>
      <c r="J93" s="48"/>
    </row>
    <row r="94">
      <c r="A94" s="34"/>
      <c r="B94" s="48"/>
      <c r="G94" s="23"/>
      <c r="J94" s="48"/>
    </row>
    <row r="95">
      <c r="A95" s="34"/>
      <c r="B95" s="48"/>
      <c r="J95" s="48"/>
    </row>
    <row r="96">
      <c r="A96" s="34"/>
      <c r="B96" s="48"/>
      <c r="G96" s="23"/>
      <c r="J96" s="48"/>
    </row>
    <row r="97">
      <c r="A97" s="34"/>
      <c r="B97" s="48"/>
      <c r="G97" s="23"/>
      <c r="J97" s="48"/>
    </row>
    <row r="98">
      <c r="A98" s="34"/>
      <c r="B98" s="48"/>
      <c r="G98" s="23"/>
      <c r="J98" s="48"/>
    </row>
    <row r="99">
      <c r="A99" s="34"/>
      <c r="B99" s="48"/>
      <c r="G99" s="23"/>
      <c r="J99" s="48"/>
    </row>
    <row r="100">
      <c r="A100" s="34"/>
      <c r="B100" s="48"/>
      <c r="G100" s="23"/>
      <c r="J100" s="48"/>
    </row>
    <row r="101">
      <c r="A101" s="34"/>
      <c r="B101" s="48"/>
      <c r="G101" s="23"/>
      <c r="J101" s="48"/>
    </row>
    <row r="102">
      <c r="A102" s="34"/>
      <c r="B102" s="48"/>
      <c r="J102" s="48"/>
    </row>
    <row r="103">
      <c r="A103" s="34"/>
      <c r="B103" s="48"/>
      <c r="G103" s="23"/>
      <c r="J103" s="48"/>
    </row>
    <row r="104">
      <c r="A104" s="34"/>
      <c r="B104" s="48"/>
      <c r="G104" s="23"/>
      <c r="J104" s="48"/>
    </row>
    <row r="105">
      <c r="A105" s="34"/>
      <c r="B105" s="48"/>
      <c r="G105" s="23"/>
      <c r="J105" s="48"/>
    </row>
    <row r="106">
      <c r="A106" s="34"/>
      <c r="B106" s="48"/>
      <c r="G106" s="23"/>
      <c r="J106" s="48"/>
    </row>
    <row r="107">
      <c r="A107" s="34"/>
      <c r="B107" s="48"/>
      <c r="J107" s="48"/>
    </row>
    <row r="108">
      <c r="A108" s="34"/>
      <c r="B108" s="48"/>
      <c r="G108" s="23"/>
      <c r="J108" s="48"/>
    </row>
    <row r="109">
      <c r="A109" s="34"/>
      <c r="B109" s="48"/>
      <c r="G109" s="23"/>
      <c r="J109" s="48"/>
    </row>
    <row r="110">
      <c r="A110" s="34"/>
      <c r="B110" s="48"/>
      <c r="J110" s="48"/>
    </row>
    <row r="111">
      <c r="A111" s="34"/>
      <c r="B111" s="48"/>
      <c r="G111" s="23"/>
      <c r="J111" s="48"/>
    </row>
    <row r="112">
      <c r="A112" s="34"/>
      <c r="B112" s="48"/>
      <c r="J112" s="48"/>
    </row>
    <row r="113">
      <c r="A113" s="34"/>
      <c r="B113" s="48"/>
      <c r="J113" s="48"/>
    </row>
    <row r="114">
      <c r="A114" s="34"/>
      <c r="B114" s="48"/>
      <c r="J114" s="48"/>
    </row>
    <row r="115">
      <c r="A115" s="34"/>
      <c r="B115" s="48"/>
      <c r="J115" s="48"/>
    </row>
    <row r="116">
      <c r="A116" s="34"/>
      <c r="B116" s="48"/>
      <c r="G116" s="23"/>
      <c r="J116" s="48"/>
    </row>
    <row r="117">
      <c r="A117" s="34"/>
      <c r="B117" s="48"/>
      <c r="G117" s="23"/>
      <c r="J117" s="48"/>
    </row>
    <row r="118">
      <c r="A118" s="34"/>
      <c r="B118" s="48"/>
      <c r="G118" s="23"/>
      <c r="J118" s="48"/>
    </row>
    <row r="119">
      <c r="A119" s="34"/>
      <c r="B119" s="48"/>
      <c r="G119" s="23"/>
      <c r="J119" s="48"/>
    </row>
    <row r="120">
      <c r="A120" s="34"/>
      <c r="B120" s="48"/>
      <c r="J120" s="48"/>
    </row>
    <row r="121">
      <c r="A121" s="34"/>
      <c r="B121" s="48"/>
      <c r="G121" s="23"/>
      <c r="J121" s="48"/>
    </row>
    <row r="122">
      <c r="A122" s="34"/>
      <c r="B122" s="48"/>
      <c r="G122" s="23"/>
      <c r="J122" s="48"/>
    </row>
    <row r="123">
      <c r="A123" s="34"/>
      <c r="B123" s="48"/>
      <c r="J123" s="48"/>
    </row>
    <row r="124">
      <c r="A124" s="34"/>
      <c r="B124" s="48"/>
      <c r="J124" s="48"/>
    </row>
    <row r="125">
      <c r="A125" s="34"/>
      <c r="B125" s="48"/>
      <c r="G125" s="23"/>
      <c r="J125" s="48"/>
    </row>
    <row r="126">
      <c r="A126" s="34"/>
      <c r="B126" s="48"/>
      <c r="G126" s="23"/>
      <c r="J126" s="48"/>
    </row>
    <row r="127">
      <c r="A127" s="34"/>
      <c r="B127" s="48"/>
      <c r="J127" s="48"/>
    </row>
    <row r="128">
      <c r="A128" s="34"/>
      <c r="B128" s="48"/>
      <c r="G128" s="23"/>
      <c r="J128" s="48"/>
    </row>
    <row r="129">
      <c r="A129" s="34"/>
      <c r="B129" s="48"/>
      <c r="G129" s="23"/>
      <c r="J129" s="48"/>
    </row>
    <row r="130">
      <c r="A130" s="34"/>
      <c r="B130" s="48"/>
      <c r="J130" s="48"/>
    </row>
    <row r="131">
      <c r="A131" s="34"/>
      <c r="B131" s="48"/>
      <c r="J131" s="48"/>
    </row>
    <row r="132">
      <c r="A132" s="34"/>
      <c r="B132" s="48"/>
      <c r="J132" s="48"/>
    </row>
    <row r="133">
      <c r="A133" s="34"/>
      <c r="B133" s="48"/>
      <c r="J133" s="48"/>
    </row>
    <row r="134">
      <c r="A134" s="34"/>
      <c r="B134" s="48"/>
      <c r="J134" s="48"/>
    </row>
    <row r="135">
      <c r="A135" s="43"/>
    </row>
    <row r="136">
      <c r="A136" s="43"/>
    </row>
    <row r="137">
      <c r="A137" s="43"/>
    </row>
    <row r="138">
      <c r="A138" s="43"/>
    </row>
    <row r="139">
      <c r="A139" s="43"/>
    </row>
    <row r="140">
      <c r="A140" s="43"/>
    </row>
    <row r="141">
      <c r="A141" s="43"/>
    </row>
    <row r="142">
      <c r="A142" s="43"/>
    </row>
    <row r="143">
      <c r="A143" s="43"/>
    </row>
    <row r="144">
      <c r="A144" s="43"/>
    </row>
    <row r="145">
      <c r="A145" s="43"/>
    </row>
    <row r="146">
      <c r="A146" s="43"/>
    </row>
    <row r="147">
      <c r="A147" s="43"/>
    </row>
    <row r="148">
      <c r="A148" s="43"/>
    </row>
    <row r="149">
      <c r="A149" s="43"/>
    </row>
    <row r="150">
      <c r="A150" s="43"/>
    </row>
    <row r="151">
      <c r="A151" s="43"/>
    </row>
    <row r="152">
      <c r="A152" s="43"/>
    </row>
    <row r="153">
      <c r="A153" s="43"/>
    </row>
    <row r="154">
      <c r="A154" s="43"/>
    </row>
    <row r="155">
      <c r="A155" s="43"/>
    </row>
    <row r="156">
      <c r="A156" s="43"/>
    </row>
    <row r="157">
      <c r="A157" s="43"/>
    </row>
    <row r="158">
      <c r="A158" s="43"/>
    </row>
    <row r="159">
      <c r="A159" s="43"/>
    </row>
    <row r="160">
      <c r="A160" s="43"/>
    </row>
    <row r="161">
      <c r="A161" s="43"/>
    </row>
    <row r="162">
      <c r="A162" s="43"/>
    </row>
    <row r="163">
      <c r="A163" s="43"/>
    </row>
    <row r="164">
      <c r="A164" s="43"/>
    </row>
    <row r="165">
      <c r="A165" s="43"/>
    </row>
    <row r="166">
      <c r="A166" s="43"/>
    </row>
    <row r="167">
      <c r="A167" s="43"/>
    </row>
    <row r="168">
      <c r="A168" s="43"/>
    </row>
    <row r="169">
      <c r="A169" s="43"/>
    </row>
    <row r="170">
      <c r="A170" s="43"/>
    </row>
    <row r="171">
      <c r="A171" s="43"/>
    </row>
    <row r="172">
      <c r="A172" s="43"/>
    </row>
    <row r="173">
      <c r="A173" s="43"/>
    </row>
    <row r="174">
      <c r="A174" s="43"/>
    </row>
    <row r="175">
      <c r="A175" s="43"/>
    </row>
    <row r="176">
      <c r="A176" s="43"/>
    </row>
    <row r="177">
      <c r="A177" s="43"/>
    </row>
    <row r="178">
      <c r="A178" s="43"/>
    </row>
    <row r="179">
      <c r="A179" s="43"/>
    </row>
    <row r="180">
      <c r="A180" s="43"/>
    </row>
    <row r="181">
      <c r="A181" s="43"/>
    </row>
    <row r="182">
      <c r="A182" s="43"/>
    </row>
    <row r="183">
      <c r="A183" s="43"/>
    </row>
    <row r="184">
      <c r="A184" s="43"/>
    </row>
    <row r="185">
      <c r="A185" s="43"/>
    </row>
    <row r="186">
      <c r="A186" s="43"/>
    </row>
    <row r="187">
      <c r="A187" s="43"/>
    </row>
    <row r="188">
      <c r="A188" s="43"/>
    </row>
    <row r="189">
      <c r="A189" s="43"/>
    </row>
    <row r="190">
      <c r="A190" s="43"/>
    </row>
    <row r="191">
      <c r="A191" s="43"/>
    </row>
    <row r="192">
      <c r="A192" s="43"/>
    </row>
    <row r="193">
      <c r="A193" s="43"/>
    </row>
    <row r="194">
      <c r="A194" s="43"/>
    </row>
    <row r="195">
      <c r="A195" s="43"/>
    </row>
    <row r="196">
      <c r="A196" s="43"/>
    </row>
    <row r="197">
      <c r="A197" s="43"/>
    </row>
    <row r="198">
      <c r="A198" s="43"/>
    </row>
    <row r="199">
      <c r="A199" s="43"/>
    </row>
    <row r="200">
      <c r="A200" s="43"/>
    </row>
    <row r="201">
      <c r="A201" s="43"/>
    </row>
    <row r="202">
      <c r="A202" s="43"/>
    </row>
    <row r="203">
      <c r="A203" s="43"/>
    </row>
    <row r="204">
      <c r="A204" s="43"/>
    </row>
    <row r="205">
      <c r="A205" s="43"/>
    </row>
    <row r="206">
      <c r="A206" s="43"/>
    </row>
    <row r="207">
      <c r="A207" s="43"/>
    </row>
    <row r="208">
      <c r="A208" s="43"/>
    </row>
    <row r="209">
      <c r="A209" s="43"/>
    </row>
    <row r="210">
      <c r="A210" s="43"/>
    </row>
    <row r="211">
      <c r="A211" s="43"/>
    </row>
    <row r="212">
      <c r="A212" s="43"/>
    </row>
    <row r="213">
      <c r="A213" s="43"/>
    </row>
    <row r="214">
      <c r="A214" s="43"/>
    </row>
    <row r="215">
      <c r="A215" s="43"/>
    </row>
    <row r="216">
      <c r="A216" s="43"/>
    </row>
    <row r="217">
      <c r="A217" s="43"/>
    </row>
    <row r="218">
      <c r="A218" s="43"/>
    </row>
    <row r="219">
      <c r="A219" s="43"/>
    </row>
    <row r="220">
      <c r="A220" s="43"/>
    </row>
    <row r="221">
      <c r="A221" s="43"/>
    </row>
    <row r="222">
      <c r="A222" s="43"/>
    </row>
    <row r="223">
      <c r="A223" s="43"/>
    </row>
    <row r="224">
      <c r="A224" s="43"/>
    </row>
    <row r="225">
      <c r="A225" s="43"/>
    </row>
    <row r="226">
      <c r="A226" s="43"/>
    </row>
    <row r="227">
      <c r="A227" s="43"/>
    </row>
    <row r="228">
      <c r="A228" s="43"/>
    </row>
    <row r="229">
      <c r="A229" s="43"/>
    </row>
    <row r="230">
      <c r="A230" s="43"/>
    </row>
    <row r="231">
      <c r="A231" s="43"/>
    </row>
    <row r="232">
      <c r="A232" s="43"/>
    </row>
    <row r="233">
      <c r="A233" s="43"/>
    </row>
    <row r="234">
      <c r="A234" s="43"/>
    </row>
    <row r="235">
      <c r="A235" s="43"/>
    </row>
    <row r="236">
      <c r="A236" s="43"/>
    </row>
    <row r="237">
      <c r="A237" s="43"/>
    </row>
    <row r="238">
      <c r="A238" s="43"/>
    </row>
    <row r="239">
      <c r="A239" s="43"/>
    </row>
    <row r="240">
      <c r="A240" s="43"/>
    </row>
    <row r="241">
      <c r="A241" s="43"/>
    </row>
    <row r="242">
      <c r="A242" s="43"/>
    </row>
    <row r="243">
      <c r="A243" s="43"/>
    </row>
    <row r="244">
      <c r="A244" s="43"/>
    </row>
    <row r="245">
      <c r="A245" s="43"/>
    </row>
    <row r="246">
      <c r="A246" s="43"/>
    </row>
    <row r="247">
      <c r="A247" s="43"/>
    </row>
    <row r="248">
      <c r="A248" s="43"/>
    </row>
    <row r="249">
      <c r="A249" s="43"/>
    </row>
    <row r="250">
      <c r="A250" s="43"/>
    </row>
    <row r="251">
      <c r="A251" s="43"/>
    </row>
    <row r="252">
      <c r="A252" s="43"/>
    </row>
    <row r="253">
      <c r="A253" s="43"/>
    </row>
    <row r="254">
      <c r="A254" s="43"/>
    </row>
    <row r="255">
      <c r="A255" s="43"/>
    </row>
    <row r="256">
      <c r="A256" s="43"/>
    </row>
    <row r="257">
      <c r="A257" s="43"/>
    </row>
    <row r="258">
      <c r="A258" s="43"/>
    </row>
    <row r="259">
      <c r="A259" s="43"/>
    </row>
    <row r="260">
      <c r="A260" s="43"/>
    </row>
    <row r="261">
      <c r="A261" s="43"/>
    </row>
    <row r="262">
      <c r="A262" s="43"/>
    </row>
    <row r="263">
      <c r="A263" s="43"/>
    </row>
    <row r="264">
      <c r="A264" s="43"/>
    </row>
    <row r="265">
      <c r="A265" s="43"/>
    </row>
    <row r="266">
      <c r="A266" s="43"/>
    </row>
    <row r="267">
      <c r="A267" s="43"/>
    </row>
    <row r="268">
      <c r="A268" s="43"/>
    </row>
    <row r="269">
      <c r="A269" s="43"/>
    </row>
    <row r="270">
      <c r="A270" s="43"/>
    </row>
    <row r="271">
      <c r="A271" s="43"/>
    </row>
    <row r="272">
      <c r="A272" s="43"/>
    </row>
    <row r="273">
      <c r="A273" s="43"/>
    </row>
    <row r="274">
      <c r="A274" s="43"/>
    </row>
    <row r="275">
      <c r="A275" s="43"/>
    </row>
    <row r="276">
      <c r="A276" s="43"/>
    </row>
    <row r="277">
      <c r="A277" s="43"/>
    </row>
    <row r="278">
      <c r="A278" s="43"/>
    </row>
    <row r="279">
      <c r="A279" s="43"/>
    </row>
    <row r="280">
      <c r="A280" s="43"/>
    </row>
    <row r="281">
      <c r="A281" s="43"/>
    </row>
    <row r="282">
      <c r="A282" s="43"/>
    </row>
    <row r="283">
      <c r="A283" s="43"/>
    </row>
    <row r="284">
      <c r="A284" s="43"/>
    </row>
    <row r="285">
      <c r="A285" s="43"/>
    </row>
    <row r="286">
      <c r="A286" s="43"/>
    </row>
    <row r="287">
      <c r="A287" s="43"/>
    </row>
    <row r="288">
      <c r="A288" s="43"/>
    </row>
    <row r="289">
      <c r="A289" s="43"/>
    </row>
    <row r="290">
      <c r="A290" s="43"/>
    </row>
    <row r="291">
      <c r="A291" s="43"/>
    </row>
    <row r="292">
      <c r="A292" s="43"/>
    </row>
    <row r="293">
      <c r="A293" s="43"/>
    </row>
    <row r="294">
      <c r="A294" s="43"/>
    </row>
    <row r="295">
      <c r="A295" s="43"/>
    </row>
    <row r="296">
      <c r="A296" s="43"/>
    </row>
    <row r="297">
      <c r="A297" s="43"/>
    </row>
    <row r="298">
      <c r="A298" s="43"/>
    </row>
    <row r="299">
      <c r="A299" s="43"/>
    </row>
    <row r="300">
      <c r="A300" s="43"/>
    </row>
    <row r="301">
      <c r="A301" s="43"/>
    </row>
    <row r="302">
      <c r="A302" s="43"/>
    </row>
    <row r="303">
      <c r="A303" s="43"/>
    </row>
    <row r="304">
      <c r="A304" s="43"/>
    </row>
    <row r="305">
      <c r="A305" s="43"/>
    </row>
    <row r="306">
      <c r="A306" s="43"/>
    </row>
    <row r="307">
      <c r="A307" s="43"/>
    </row>
    <row r="308">
      <c r="A308" s="43"/>
    </row>
    <row r="309">
      <c r="A309" s="43"/>
    </row>
    <row r="310">
      <c r="A310" s="43"/>
    </row>
    <row r="311">
      <c r="A311" s="43"/>
    </row>
    <row r="312">
      <c r="A312" s="43"/>
    </row>
    <row r="313">
      <c r="A313" s="43"/>
    </row>
    <row r="314">
      <c r="A314" s="43"/>
    </row>
    <row r="315">
      <c r="A315" s="43"/>
    </row>
    <row r="316">
      <c r="A316" s="43"/>
    </row>
    <row r="317">
      <c r="A317" s="43"/>
    </row>
    <row r="318">
      <c r="A318" s="43"/>
    </row>
    <row r="319">
      <c r="A319" s="43"/>
    </row>
    <row r="320">
      <c r="A320" s="43"/>
    </row>
    <row r="321">
      <c r="A321" s="43"/>
    </row>
    <row r="322">
      <c r="A322" s="43"/>
    </row>
    <row r="323">
      <c r="A323" s="43"/>
    </row>
    <row r="324">
      <c r="A324" s="43"/>
    </row>
    <row r="325">
      <c r="A325" s="43"/>
    </row>
    <row r="326">
      <c r="A326" s="43"/>
    </row>
    <row r="327">
      <c r="A327" s="43"/>
    </row>
    <row r="328">
      <c r="A328" s="43"/>
    </row>
    <row r="329">
      <c r="A329" s="43"/>
    </row>
    <row r="330">
      <c r="A330" s="43"/>
    </row>
    <row r="331">
      <c r="A331" s="43"/>
    </row>
    <row r="332">
      <c r="A332" s="43"/>
    </row>
    <row r="333">
      <c r="A333" s="43"/>
    </row>
    <row r="334">
      <c r="A334" s="43"/>
    </row>
    <row r="335">
      <c r="A335" s="43"/>
    </row>
    <row r="336">
      <c r="A336" s="43"/>
    </row>
    <row r="337">
      <c r="A337" s="43"/>
    </row>
    <row r="338">
      <c r="A338" s="43"/>
    </row>
    <row r="339">
      <c r="A339" s="43"/>
    </row>
    <row r="340">
      <c r="A340" s="43"/>
    </row>
    <row r="341">
      <c r="A341" s="43"/>
    </row>
    <row r="342">
      <c r="A342" s="43"/>
    </row>
    <row r="343">
      <c r="A343" s="43"/>
    </row>
    <row r="344">
      <c r="A344" s="43"/>
    </row>
    <row r="345">
      <c r="A345" s="43"/>
    </row>
    <row r="346">
      <c r="A346" s="43"/>
    </row>
    <row r="347">
      <c r="A347" s="43"/>
    </row>
    <row r="348">
      <c r="A348" s="43"/>
    </row>
    <row r="349">
      <c r="A349" s="43"/>
    </row>
    <row r="350">
      <c r="A350" s="43"/>
    </row>
    <row r="351">
      <c r="A351" s="43"/>
    </row>
    <row r="352">
      <c r="A352" s="43"/>
    </row>
    <row r="353">
      <c r="A353" s="43"/>
    </row>
    <row r="354">
      <c r="A354" s="43"/>
    </row>
    <row r="355">
      <c r="A355" s="43"/>
    </row>
    <row r="356">
      <c r="A356" s="43"/>
    </row>
    <row r="357">
      <c r="A357" s="43"/>
    </row>
    <row r="358">
      <c r="A358" s="43"/>
    </row>
    <row r="359">
      <c r="A359" s="43"/>
    </row>
    <row r="360">
      <c r="A360" s="43"/>
    </row>
    <row r="361">
      <c r="A361" s="43"/>
    </row>
    <row r="362">
      <c r="A362" s="43"/>
    </row>
    <row r="363">
      <c r="A363" s="43"/>
    </row>
    <row r="364">
      <c r="A364" s="43"/>
    </row>
    <row r="365">
      <c r="A365" s="43"/>
    </row>
    <row r="366">
      <c r="A366" s="43"/>
    </row>
    <row r="367">
      <c r="A367" s="43"/>
    </row>
    <row r="368">
      <c r="A368" s="43"/>
    </row>
    <row r="369">
      <c r="A369" s="43"/>
    </row>
    <row r="370">
      <c r="A370" s="43"/>
    </row>
    <row r="371">
      <c r="A371" s="43"/>
    </row>
    <row r="372">
      <c r="A372" s="43"/>
    </row>
    <row r="373">
      <c r="A373" s="43"/>
    </row>
    <row r="374">
      <c r="A374" s="43"/>
    </row>
    <row r="375">
      <c r="A375" s="43"/>
    </row>
    <row r="376">
      <c r="A376" s="43"/>
    </row>
    <row r="377">
      <c r="A377" s="43"/>
    </row>
    <row r="378">
      <c r="A378" s="43"/>
    </row>
    <row r="379">
      <c r="A379" s="43"/>
    </row>
    <row r="380">
      <c r="A380" s="43"/>
    </row>
    <row r="381">
      <c r="A381" s="43"/>
    </row>
    <row r="382">
      <c r="A382" s="43"/>
    </row>
    <row r="383">
      <c r="A383" s="43"/>
    </row>
    <row r="384">
      <c r="A384" s="43"/>
    </row>
    <row r="385">
      <c r="A385" s="43"/>
    </row>
    <row r="386">
      <c r="A386" s="43"/>
    </row>
    <row r="387">
      <c r="A387" s="43"/>
    </row>
    <row r="388">
      <c r="A388" s="43"/>
    </row>
    <row r="389">
      <c r="A389" s="43"/>
    </row>
    <row r="390">
      <c r="A390" s="43"/>
    </row>
    <row r="391">
      <c r="A391" s="43"/>
    </row>
    <row r="392">
      <c r="A392" s="43"/>
    </row>
    <row r="393">
      <c r="A393" s="43"/>
    </row>
    <row r="394">
      <c r="A394" s="43"/>
    </row>
    <row r="395">
      <c r="A395" s="43"/>
    </row>
    <row r="396">
      <c r="A396" s="43"/>
    </row>
    <row r="397">
      <c r="A397" s="43"/>
    </row>
    <row r="398">
      <c r="A398" s="43"/>
    </row>
    <row r="399">
      <c r="A399" s="43"/>
    </row>
    <row r="400">
      <c r="A400" s="43"/>
    </row>
    <row r="401">
      <c r="A401" s="43"/>
    </row>
    <row r="402">
      <c r="A402" s="43"/>
    </row>
    <row r="403">
      <c r="A403" s="43"/>
    </row>
    <row r="404">
      <c r="A404" s="43"/>
    </row>
    <row r="405">
      <c r="A405" s="43"/>
    </row>
    <row r="406">
      <c r="A406" s="43"/>
    </row>
    <row r="407">
      <c r="A407" s="43"/>
    </row>
    <row r="408">
      <c r="A408" s="43"/>
    </row>
    <row r="409">
      <c r="A409" s="43"/>
    </row>
    <row r="410">
      <c r="A410" s="43"/>
    </row>
    <row r="411">
      <c r="A411" s="43"/>
    </row>
    <row r="412">
      <c r="A412" s="43"/>
    </row>
    <row r="413">
      <c r="A413" s="43"/>
    </row>
    <row r="414">
      <c r="A414" s="43"/>
    </row>
    <row r="415">
      <c r="A415" s="43"/>
    </row>
    <row r="416">
      <c r="A416" s="43"/>
    </row>
    <row r="417">
      <c r="A417" s="43"/>
    </row>
    <row r="418">
      <c r="A418" s="43"/>
    </row>
    <row r="419">
      <c r="A419" s="43"/>
    </row>
    <row r="420">
      <c r="A420" s="43"/>
    </row>
    <row r="421">
      <c r="A421" s="43"/>
    </row>
    <row r="422">
      <c r="A422" s="43"/>
    </row>
    <row r="423">
      <c r="A423" s="43"/>
    </row>
    <row r="424">
      <c r="A424" s="43"/>
    </row>
    <row r="425">
      <c r="A425" s="43"/>
    </row>
    <row r="426">
      <c r="A426" s="43"/>
    </row>
    <row r="427">
      <c r="A427" s="43"/>
    </row>
    <row r="428">
      <c r="A428" s="43"/>
    </row>
    <row r="429">
      <c r="A429" s="43"/>
    </row>
    <row r="430">
      <c r="A430" s="43"/>
    </row>
    <row r="431">
      <c r="A431" s="43"/>
    </row>
    <row r="432">
      <c r="A432" s="43"/>
    </row>
    <row r="433">
      <c r="A433" s="43"/>
    </row>
    <row r="434">
      <c r="A434" s="43"/>
    </row>
    <row r="435">
      <c r="A435" s="43"/>
    </row>
    <row r="436">
      <c r="A436" s="43"/>
    </row>
    <row r="437">
      <c r="A437" s="43"/>
    </row>
    <row r="438">
      <c r="A438" s="43"/>
    </row>
    <row r="439">
      <c r="A439" s="43"/>
    </row>
    <row r="440">
      <c r="A440" s="43"/>
    </row>
    <row r="441">
      <c r="A441" s="43"/>
    </row>
    <row r="442">
      <c r="A442" s="43"/>
    </row>
    <row r="443">
      <c r="A443" s="43"/>
    </row>
    <row r="444">
      <c r="A444" s="43"/>
    </row>
    <row r="445">
      <c r="A445" s="43"/>
    </row>
    <row r="446">
      <c r="A446" s="43"/>
    </row>
    <row r="447">
      <c r="A447" s="43"/>
    </row>
    <row r="448">
      <c r="A448" s="43"/>
    </row>
    <row r="449">
      <c r="A449" s="43"/>
    </row>
    <row r="450">
      <c r="A450" s="43"/>
    </row>
    <row r="451">
      <c r="A451" s="43"/>
    </row>
    <row r="452">
      <c r="A452" s="43"/>
    </row>
    <row r="453">
      <c r="A453" s="43"/>
    </row>
    <row r="454">
      <c r="A454" s="43"/>
    </row>
    <row r="455">
      <c r="A455" s="43"/>
    </row>
    <row r="456">
      <c r="A456" s="43"/>
    </row>
    <row r="457">
      <c r="A457" s="43"/>
    </row>
    <row r="458">
      <c r="A458" s="43"/>
    </row>
    <row r="459">
      <c r="A459" s="43"/>
    </row>
    <row r="460">
      <c r="A460" s="43"/>
    </row>
    <row r="461">
      <c r="A461" s="43"/>
    </row>
    <row r="462">
      <c r="A462" s="43"/>
    </row>
    <row r="463">
      <c r="A463" s="43"/>
    </row>
    <row r="464">
      <c r="A464" s="43"/>
    </row>
    <row r="465">
      <c r="A465" s="43"/>
    </row>
    <row r="466">
      <c r="A466" s="43"/>
    </row>
    <row r="467">
      <c r="A467" s="43"/>
    </row>
    <row r="468">
      <c r="A468" s="43"/>
    </row>
    <row r="469">
      <c r="A469" s="43"/>
    </row>
    <row r="470">
      <c r="A470" s="43"/>
    </row>
    <row r="471">
      <c r="A471" s="43"/>
    </row>
    <row r="472">
      <c r="A472" s="43"/>
    </row>
    <row r="473">
      <c r="A473" s="43"/>
    </row>
    <row r="474">
      <c r="A474" s="43"/>
    </row>
    <row r="475">
      <c r="A475" s="43"/>
    </row>
    <row r="476">
      <c r="A476" s="43"/>
    </row>
    <row r="477">
      <c r="A477" s="43"/>
    </row>
    <row r="478">
      <c r="A478" s="43"/>
    </row>
    <row r="479">
      <c r="A479" s="43"/>
    </row>
    <row r="480">
      <c r="A480" s="43"/>
    </row>
    <row r="481">
      <c r="A481" s="43"/>
    </row>
    <row r="482">
      <c r="A482" s="43"/>
    </row>
    <row r="483">
      <c r="A483" s="43"/>
    </row>
    <row r="484">
      <c r="A484" s="43"/>
    </row>
    <row r="485">
      <c r="A485" s="43"/>
    </row>
    <row r="486">
      <c r="A486" s="43"/>
    </row>
    <row r="487">
      <c r="A487" s="43"/>
    </row>
    <row r="488">
      <c r="A488" s="43"/>
    </row>
    <row r="489">
      <c r="A489" s="43"/>
    </row>
    <row r="490">
      <c r="A490" s="43"/>
    </row>
    <row r="491">
      <c r="A491" s="43"/>
    </row>
    <row r="492">
      <c r="A492" s="43"/>
    </row>
    <row r="493">
      <c r="A493" s="43"/>
    </row>
    <row r="494">
      <c r="A494" s="43"/>
    </row>
    <row r="495">
      <c r="A495" s="43"/>
    </row>
    <row r="496">
      <c r="A496" s="43"/>
    </row>
    <row r="497">
      <c r="A497" s="43"/>
    </row>
    <row r="498">
      <c r="A498" s="43"/>
    </row>
    <row r="499">
      <c r="A499" s="43"/>
    </row>
    <row r="500">
      <c r="A500" s="43"/>
    </row>
    <row r="501">
      <c r="A501" s="43"/>
    </row>
    <row r="502">
      <c r="A502" s="43"/>
    </row>
    <row r="503">
      <c r="A503" s="43"/>
    </row>
    <row r="504">
      <c r="A504" s="43"/>
    </row>
    <row r="505">
      <c r="A505" s="43"/>
    </row>
    <row r="506">
      <c r="A506" s="43"/>
    </row>
    <row r="507">
      <c r="A507" s="43"/>
    </row>
    <row r="508">
      <c r="A508" s="43"/>
    </row>
    <row r="509">
      <c r="A509" s="43"/>
    </row>
    <row r="510">
      <c r="A510" s="43"/>
    </row>
    <row r="511">
      <c r="A511" s="43"/>
    </row>
    <row r="512">
      <c r="A512" s="43"/>
    </row>
    <row r="513">
      <c r="A513" s="43"/>
    </row>
    <row r="514">
      <c r="A514" s="43"/>
    </row>
    <row r="515">
      <c r="A515" s="43"/>
    </row>
    <row r="516">
      <c r="A516" s="43"/>
    </row>
    <row r="517">
      <c r="A517" s="43"/>
    </row>
    <row r="518">
      <c r="A518" s="43"/>
    </row>
    <row r="519">
      <c r="A519" s="43"/>
    </row>
    <row r="520">
      <c r="A520" s="43"/>
    </row>
    <row r="521">
      <c r="A521" s="43"/>
    </row>
    <row r="522">
      <c r="A522" s="43"/>
    </row>
    <row r="523">
      <c r="A523" s="43"/>
    </row>
    <row r="524">
      <c r="A524" s="43"/>
    </row>
    <row r="525">
      <c r="A525" s="43"/>
    </row>
    <row r="526">
      <c r="A526" s="43"/>
    </row>
    <row r="527">
      <c r="A527" s="43"/>
    </row>
    <row r="528">
      <c r="A528" s="43"/>
    </row>
    <row r="529">
      <c r="A529" s="43"/>
    </row>
    <row r="530">
      <c r="A530" s="43"/>
    </row>
    <row r="531">
      <c r="A531" s="43"/>
    </row>
    <row r="532">
      <c r="A532" s="43"/>
    </row>
    <row r="533">
      <c r="A533" s="43"/>
    </row>
    <row r="534">
      <c r="A534" s="43"/>
    </row>
    <row r="535">
      <c r="A535" s="43"/>
    </row>
    <row r="536">
      <c r="A536" s="43"/>
    </row>
    <row r="537">
      <c r="A537" s="43"/>
    </row>
    <row r="538">
      <c r="A538" s="43"/>
    </row>
    <row r="539">
      <c r="A539" s="43"/>
    </row>
    <row r="540">
      <c r="A540" s="43"/>
    </row>
    <row r="541">
      <c r="A541" s="43"/>
    </row>
    <row r="542">
      <c r="A542" s="43"/>
    </row>
    <row r="543">
      <c r="A543" s="43"/>
    </row>
    <row r="544">
      <c r="A544" s="43"/>
    </row>
    <row r="545">
      <c r="A545" s="43"/>
    </row>
    <row r="546">
      <c r="A546" s="43"/>
    </row>
    <row r="547">
      <c r="A547" s="43"/>
    </row>
    <row r="548">
      <c r="A548" s="43"/>
    </row>
    <row r="549">
      <c r="A549" s="43"/>
    </row>
    <row r="550">
      <c r="A550" s="43"/>
    </row>
    <row r="551">
      <c r="A551" s="43"/>
    </row>
    <row r="552">
      <c r="A552" s="43"/>
    </row>
    <row r="553">
      <c r="A553" s="43"/>
    </row>
    <row r="554">
      <c r="A554" s="43"/>
    </row>
    <row r="555">
      <c r="A555" s="43"/>
    </row>
    <row r="556">
      <c r="A556" s="43"/>
    </row>
    <row r="557">
      <c r="A557" s="43"/>
    </row>
    <row r="558">
      <c r="A558" s="43"/>
    </row>
    <row r="559">
      <c r="A559" s="43"/>
    </row>
    <row r="560">
      <c r="A560" s="43"/>
    </row>
    <row r="561">
      <c r="A561" s="43"/>
    </row>
    <row r="562">
      <c r="A562" s="43"/>
    </row>
    <row r="563">
      <c r="A563" s="43"/>
    </row>
    <row r="564">
      <c r="A564" s="43"/>
    </row>
    <row r="565">
      <c r="A565" s="43"/>
    </row>
    <row r="566">
      <c r="A566" s="43"/>
    </row>
    <row r="567">
      <c r="A567" s="43"/>
    </row>
    <row r="568">
      <c r="A568" s="43"/>
    </row>
    <row r="569">
      <c r="A569" s="43"/>
    </row>
    <row r="570">
      <c r="A570" s="43"/>
    </row>
    <row r="571">
      <c r="A571" s="43"/>
    </row>
    <row r="572">
      <c r="A572" s="43"/>
    </row>
    <row r="573">
      <c r="A573" s="43"/>
    </row>
    <row r="574">
      <c r="A574" s="43"/>
    </row>
    <row r="575">
      <c r="A575" s="43"/>
    </row>
    <row r="576">
      <c r="A576" s="43"/>
    </row>
    <row r="577">
      <c r="A577" s="43"/>
    </row>
    <row r="578">
      <c r="A578" s="43"/>
    </row>
    <row r="579">
      <c r="A579" s="43"/>
    </row>
    <row r="580">
      <c r="A580" s="43"/>
    </row>
    <row r="581">
      <c r="A581" s="43"/>
    </row>
    <row r="582">
      <c r="A582" s="43"/>
    </row>
    <row r="583">
      <c r="A583" s="43"/>
    </row>
    <row r="584">
      <c r="A584" s="43"/>
    </row>
    <row r="585">
      <c r="A585" s="43"/>
    </row>
    <row r="586">
      <c r="A586" s="43"/>
    </row>
    <row r="587">
      <c r="A587" s="43"/>
    </row>
    <row r="588">
      <c r="A588" s="43"/>
    </row>
    <row r="589">
      <c r="A589" s="43"/>
    </row>
    <row r="590">
      <c r="A590" s="43"/>
    </row>
    <row r="591">
      <c r="A591" s="43"/>
    </row>
    <row r="592">
      <c r="A592" s="43"/>
    </row>
    <row r="593">
      <c r="A593" s="43"/>
    </row>
    <row r="594">
      <c r="A594" s="43"/>
    </row>
    <row r="595">
      <c r="A595" s="43"/>
    </row>
    <row r="596">
      <c r="A596" s="43"/>
    </row>
    <row r="597">
      <c r="A597" s="43"/>
    </row>
    <row r="598">
      <c r="A598" s="43"/>
    </row>
    <row r="599">
      <c r="A599" s="43"/>
    </row>
    <row r="600">
      <c r="A600" s="43"/>
    </row>
    <row r="601">
      <c r="A601" s="43"/>
    </row>
    <row r="602">
      <c r="A602" s="43"/>
    </row>
    <row r="603">
      <c r="A603" s="43"/>
    </row>
    <row r="604">
      <c r="A604" s="43"/>
    </row>
    <row r="605">
      <c r="A605" s="43"/>
    </row>
    <row r="606">
      <c r="A606" s="43"/>
    </row>
    <row r="607">
      <c r="A607" s="43"/>
    </row>
    <row r="608">
      <c r="A608" s="43"/>
    </row>
    <row r="609">
      <c r="A609" s="43"/>
    </row>
    <row r="610">
      <c r="A610" s="43"/>
    </row>
    <row r="611">
      <c r="A611" s="43"/>
    </row>
    <row r="612">
      <c r="A612" s="43"/>
    </row>
    <row r="613">
      <c r="A613" s="43"/>
    </row>
    <row r="614">
      <c r="A614" s="43"/>
    </row>
    <row r="615">
      <c r="A615" s="43"/>
    </row>
    <row r="616">
      <c r="A616" s="43"/>
    </row>
    <row r="617">
      <c r="A617" s="43"/>
    </row>
    <row r="618">
      <c r="A618" s="43"/>
    </row>
    <row r="619">
      <c r="A619" s="43"/>
    </row>
    <row r="620">
      <c r="A620" s="43"/>
    </row>
    <row r="621">
      <c r="A621" s="43"/>
    </row>
    <row r="622">
      <c r="A622" s="43"/>
    </row>
    <row r="623">
      <c r="A623" s="43"/>
    </row>
    <row r="624">
      <c r="A624" s="43"/>
    </row>
    <row r="625">
      <c r="A625" s="43"/>
    </row>
    <row r="626">
      <c r="A626" s="43"/>
    </row>
    <row r="627">
      <c r="A627" s="43"/>
    </row>
    <row r="628">
      <c r="A628" s="43"/>
    </row>
    <row r="629">
      <c r="A629" s="43"/>
    </row>
    <row r="630">
      <c r="A630" s="43"/>
    </row>
    <row r="631">
      <c r="A631" s="43"/>
    </row>
    <row r="632">
      <c r="A632" s="43"/>
    </row>
    <row r="633">
      <c r="A633" s="43"/>
    </row>
    <row r="634">
      <c r="A634" s="43"/>
    </row>
    <row r="635">
      <c r="A635" s="43"/>
    </row>
    <row r="636">
      <c r="A636" s="43"/>
    </row>
    <row r="637">
      <c r="A637" s="43"/>
    </row>
    <row r="638">
      <c r="A638" s="43"/>
    </row>
    <row r="639">
      <c r="A639" s="43"/>
    </row>
    <row r="640">
      <c r="A640" s="43"/>
    </row>
    <row r="641">
      <c r="A641" s="43"/>
    </row>
    <row r="642">
      <c r="A642" s="43"/>
    </row>
    <row r="643">
      <c r="A643" s="43"/>
    </row>
    <row r="644">
      <c r="A644" s="43"/>
    </row>
    <row r="645">
      <c r="A645" s="43"/>
    </row>
    <row r="646">
      <c r="A646" s="43"/>
    </row>
    <row r="647">
      <c r="A647" s="43"/>
    </row>
    <row r="648">
      <c r="A648" s="43"/>
    </row>
    <row r="649">
      <c r="A649" s="43"/>
    </row>
    <row r="650">
      <c r="A650" s="43"/>
    </row>
    <row r="651">
      <c r="A651" s="43"/>
    </row>
    <row r="652">
      <c r="A652" s="43"/>
    </row>
    <row r="653">
      <c r="A653" s="43"/>
    </row>
    <row r="654">
      <c r="A654" s="43"/>
    </row>
    <row r="655">
      <c r="A655" s="43"/>
    </row>
    <row r="656">
      <c r="A656" s="43"/>
    </row>
    <row r="657">
      <c r="A657" s="43"/>
    </row>
    <row r="658">
      <c r="A658" s="43"/>
    </row>
    <row r="659">
      <c r="A659" s="43"/>
    </row>
    <row r="660">
      <c r="A660" s="43"/>
    </row>
    <row r="661">
      <c r="A661" s="43"/>
    </row>
    <row r="662">
      <c r="A662" s="43"/>
    </row>
    <row r="663">
      <c r="A663" s="43"/>
    </row>
    <row r="664">
      <c r="A664" s="43"/>
    </row>
    <row r="665">
      <c r="A665" s="43"/>
    </row>
    <row r="666">
      <c r="A666" s="43"/>
    </row>
    <row r="667">
      <c r="A667" s="43"/>
    </row>
    <row r="668">
      <c r="A668" s="43"/>
    </row>
    <row r="669">
      <c r="A669" s="43"/>
    </row>
    <row r="670">
      <c r="A670" s="43"/>
    </row>
    <row r="671">
      <c r="A671" s="43"/>
    </row>
    <row r="672">
      <c r="A672" s="43"/>
    </row>
    <row r="673">
      <c r="A673" s="43"/>
    </row>
    <row r="674">
      <c r="A674" s="43"/>
    </row>
    <row r="675">
      <c r="A675" s="43"/>
    </row>
    <row r="676">
      <c r="A676" s="43"/>
    </row>
    <row r="677">
      <c r="A677" s="43"/>
    </row>
    <row r="678">
      <c r="A678" s="43"/>
    </row>
    <row r="679">
      <c r="A679" s="43"/>
    </row>
    <row r="680">
      <c r="A680" s="43"/>
    </row>
    <row r="681">
      <c r="A681" s="43"/>
    </row>
    <row r="682">
      <c r="A682" s="43"/>
    </row>
    <row r="683">
      <c r="A683" s="43"/>
    </row>
    <row r="684">
      <c r="A684" s="43"/>
    </row>
    <row r="685">
      <c r="A685" s="43"/>
    </row>
    <row r="686">
      <c r="A686" s="43"/>
    </row>
    <row r="687">
      <c r="A687" s="43"/>
    </row>
    <row r="688">
      <c r="A688" s="43"/>
    </row>
    <row r="689">
      <c r="A689" s="43"/>
    </row>
    <row r="690">
      <c r="A690" s="43"/>
    </row>
    <row r="691">
      <c r="A691" s="43"/>
    </row>
    <row r="692">
      <c r="A692" s="43"/>
    </row>
    <row r="693">
      <c r="A693" s="43"/>
    </row>
    <row r="694">
      <c r="A694" s="43"/>
    </row>
    <row r="695">
      <c r="A695" s="43"/>
    </row>
    <row r="696">
      <c r="A696" s="43"/>
    </row>
    <row r="697">
      <c r="A697" s="43"/>
    </row>
    <row r="698">
      <c r="A698" s="43"/>
    </row>
    <row r="699">
      <c r="A699" s="43"/>
    </row>
    <row r="700">
      <c r="A700" s="43"/>
    </row>
    <row r="701">
      <c r="A701" s="43"/>
    </row>
    <row r="702">
      <c r="A702" s="43"/>
    </row>
    <row r="703">
      <c r="A703" s="43"/>
    </row>
    <row r="704">
      <c r="A704" s="43"/>
    </row>
    <row r="705">
      <c r="A705" s="43"/>
    </row>
    <row r="706">
      <c r="A706" s="43"/>
    </row>
    <row r="707">
      <c r="A707" s="43"/>
    </row>
    <row r="708">
      <c r="A708" s="43"/>
    </row>
    <row r="709">
      <c r="A709" s="43"/>
    </row>
    <row r="710">
      <c r="A710" s="43"/>
    </row>
    <row r="711">
      <c r="A711" s="43"/>
    </row>
    <row r="712">
      <c r="A712" s="43"/>
    </row>
    <row r="713">
      <c r="A713" s="43"/>
    </row>
    <row r="714">
      <c r="A714" s="43"/>
    </row>
    <row r="715">
      <c r="A715" s="43"/>
    </row>
    <row r="716">
      <c r="A716" s="43"/>
    </row>
    <row r="717">
      <c r="A717" s="43"/>
    </row>
    <row r="718">
      <c r="A718" s="43"/>
    </row>
    <row r="719">
      <c r="A719" s="43"/>
    </row>
    <row r="720">
      <c r="A720" s="43"/>
    </row>
    <row r="721">
      <c r="A721" s="43"/>
    </row>
    <row r="722">
      <c r="A722" s="43"/>
    </row>
    <row r="723">
      <c r="A723" s="43"/>
    </row>
    <row r="724">
      <c r="A724" s="43"/>
    </row>
    <row r="725">
      <c r="A725" s="43"/>
    </row>
    <row r="726">
      <c r="A726" s="43"/>
    </row>
    <row r="727">
      <c r="A727" s="43"/>
    </row>
    <row r="728">
      <c r="A728" s="43"/>
    </row>
    <row r="729">
      <c r="A729" s="43"/>
    </row>
    <row r="730">
      <c r="A730" s="43"/>
    </row>
    <row r="731">
      <c r="A731" s="43"/>
    </row>
    <row r="732">
      <c r="A732" s="43"/>
    </row>
    <row r="733">
      <c r="A733" s="43"/>
    </row>
    <row r="734">
      <c r="A734" s="43"/>
    </row>
    <row r="735">
      <c r="A735" s="43"/>
    </row>
    <row r="736">
      <c r="A736" s="43"/>
    </row>
    <row r="737">
      <c r="A737" s="43"/>
    </row>
    <row r="738">
      <c r="A738" s="43"/>
    </row>
    <row r="739">
      <c r="A739" s="43"/>
    </row>
    <row r="740">
      <c r="A740" s="43"/>
    </row>
    <row r="741">
      <c r="A741" s="43"/>
    </row>
    <row r="742">
      <c r="A742" s="43"/>
    </row>
    <row r="743">
      <c r="A743" s="43"/>
    </row>
    <row r="744">
      <c r="A744" s="43"/>
    </row>
    <row r="745">
      <c r="A745" s="43"/>
    </row>
    <row r="746">
      <c r="A746" s="43"/>
    </row>
    <row r="747">
      <c r="A747" s="43"/>
    </row>
    <row r="748">
      <c r="A748" s="43"/>
    </row>
    <row r="749">
      <c r="A749" s="43"/>
    </row>
    <row r="750">
      <c r="A750" s="43"/>
    </row>
    <row r="751">
      <c r="A751" s="43"/>
    </row>
    <row r="752">
      <c r="A752" s="43"/>
    </row>
    <row r="753">
      <c r="A753" s="43"/>
    </row>
    <row r="754">
      <c r="A754" s="43"/>
    </row>
    <row r="755">
      <c r="A755" s="43"/>
    </row>
    <row r="756">
      <c r="A756" s="43"/>
    </row>
    <row r="757">
      <c r="A757" s="43"/>
    </row>
    <row r="758">
      <c r="A758" s="43"/>
    </row>
    <row r="759">
      <c r="A759" s="43"/>
    </row>
    <row r="760">
      <c r="A760" s="43"/>
    </row>
    <row r="761">
      <c r="A761" s="43"/>
    </row>
    <row r="762">
      <c r="A762" s="43"/>
    </row>
    <row r="763">
      <c r="A763" s="43"/>
    </row>
    <row r="764">
      <c r="A764" s="43"/>
    </row>
    <row r="765">
      <c r="A765" s="43"/>
    </row>
    <row r="766">
      <c r="A766" s="43"/>
    </row>
    <row r="767">
      <c r="A767" s="43"/>
    </row>
    <row r="768">
      <c r="A768" s="43"/>
    </row>
    <row r="769">
      <c r="A769" s="43"/>
    </row>
    <row r="770">
      <c r="A770" s="43"/>
    </row>
    <row r="771">
      <c r="A771" s="43"/>
    </row>
    <row r="772">
      <c r="A772" s="43"/>
    </row>
    <row r="773">
      <c r="A773" s="43"/>
    </row>
    <row r="774">
      <c r="A774" s="43"/>
    </row>
    <row r="775">
      <c r="A775" s="43"/>
    </row>
    <row r="776">
      <c r="A776" s="43"/>
    </row>
    <row r="777">
      <c r="A777" s="43"/>
    </row>
    <row r="778">
      <c r="A778" s="43"/>
    </row>
    <row r="779">
      <c r="A779" s="43"/>
    </row>
    <row r="780">
      <c r="A780" s="43"/>
    </row>
    <row r="781">
      <c r="A781" s="43"/>
    </row>
    <row r="782">
      <c r="A782" s="43"/>
    </row>
    <row r="783">
      <c r="A783" s="43"/>
    </row>
    <row r="784">
      <c r="A784" s="43"/>
    </row>
    <row r="785">
      <c r="A785" s="43"/>
    </row>
    <row r="786">
      <c r="A786" s="43"/>
    </row>
    <row r="787">
      <c r="A787" s="43"/>
    </row>
    <row r="788">
      <c r="A788" s="43"/>
    </row>
    <row r="789">
      <c r="A789" s="43"/>
    </row>
    <row r="790">
      <c r="A790" s="43"/>
    </row>
    <row r="791">
      <c r="A791" s="43"/>
    </row>
    <row r="792">
      <c r="A792" s="43"/>
    </row>
    <row r="793">
      <c r="A793" s="43"/>
    </row>
    <row r="794">
      <c r="A794" s="43"/>
    </row>
    <row r="795">
      <c r="A795" s="43"/>
    </row>
    <row r="796">
      <c r="A796" s="43"/>
    </row>
    <row r="797">
      <c r="A797" s="43"/>
    </row>
    <row r="798">
      <c r="A798" s="43"/>
    </row>
    <row r="799">
      <c r="A799" s="43"/>
    </row>
    <row r="800">
      <c r="A800" s="43"/>
    </row>
    <row r="801">
      <c r="A801" s="43"/>
    </row>
    <row r="802">
      <c r="A802" s="43"/>
    </row>
    <row r="803">
      <c r="A803" s="43"/>
    </row>
    <row r="804">
      <c r="A804" s="43"/>
    </row>
    <row r="805">
      <c r="A805" s="43"/>
    </row>
    <row r="806">
      <c r="A806" s="43"/>
    </row>
    <row r="807">
      <c r="A807" s="43"/>
    </row>
    <row r="808">
      <c r="A808" s="43"/>
    </row>
    <row r="809">
      <c r="A809" s="43"/>
    </row>
    <row r="810">
      <c r="A810" s="43"/>
    </row>
    <row r="811">
      <c r="A811" s="43"/>
    </row>
    <row r="812">
      <c r="A812" s="43"/>
    </row>
    <row r="813">
      <c r="A813" s="43"/>
    </row>
    <row r="814">
      <c r="A814" s="43"/>
    </row>
    <row r="815">
      <c r="A815" s="43"/>
    </row>
    <row r="816">
      <c r="A816" s="43"/>
    </row>
    <row r="817">
      <c r="A817" s="43"/>
    </row>
    <row r="818">
      <c r="A818" s="43"/>
    </row>
    <row r="819">
      <c r="A819" s="43"/>
    </row>
    <row r="820">
      <c r="A820" s="43"/>
    </row>
    <row r="821">
      <c r="A821" s="43"/>
    </row>
    <row r="822">
      <c r="A822" s="43"/>
    </row>
    <row r="823">
      <c r="A823" s="43"/>
    </row>
    <row r="824">
      <c r="A824" s="43"/>
    </row>
    <row r="825">
      <c r="A825" s="43"/>
    </row>
    <row r="826">
      <c r="A826" s="43"/>
    </row>
    <row r="827">
      <c r="A827" s="43"/>
    </row>
    <row r="828">
      <c r="A828" s="43"/>
    </row>
    <row r="829">
      <c r="A829" s="43"/>
    </row>
    <row r="830">
      <c r="A830" s="43"/>
    </row>
    <row r="831">
      <c r="A831" s="43"/>
    </row>
    <row r="832">
      <c r="A832" s="43"/>
    </row>
    <row r="833">
      <c r="A833" s="43"/>
    </row>
    <row r="834">
      <c r="A834" s="43"/>
    </row>
    <row r="835">
      <c r="A835" s="43"/>
    </row>
    <row r="836">
      <c r="A836" s="43"/>
    </row>
    <row r="837">
      <c r="A837" s="43"/>
    </row>
    <row r="838">
      <c r="A838" s="43"/>
    </row>
    <row r="839">
      <c r="A839" s="43"/>
    </row>
    <row r="840">
      <c r="A840" s="43"/>
    </row>
    <row r="841">
      <c r="A841" s="43"/>
    </row>
    <row r="842">
      <c r="A842" s="43"/>
    </row>
    <row r="843">
      <c r="A843" s="43"/>
    </row>
    <row r="844">
      <c r="A844" s="43"/>
    </row>
    <row r="845">
      <c r="A845" s="43"/>
    </row>
    <row r="846">
      <c r="A846" s="43"/>
    </row>
    <row r="847">
      <c r="A847" s="43"/>
    </row>
    <row r="848">
      <c r="A848" s="43"/>
    </row>
    <row r="849">
      <c r="A849" s="43"/>
    </row>
    <row r="850">
      <c r="A850" s="43"/>
    </row>
    <row r="851">
      <c r="A851" s="43"/>
    </row>
    <row r="852">
      <c r="A852" s="43"/>
    </row>
    <row r="853">
      <c r="A853" s="43"/>
    </row>
    <row r="854">
      <c r="A854" s="43"/>
    </row>
    <row r="855">
      <c r="A855" s="43"/>
    </row>
    <row r="856">
      <c r="A856" s="43"/>
    </row>
    <row r="857">
      <c r="A857" s="43"/>
    </row>
    <row r="858">
      <c r="A858" s="43"/>
    </row>
    <row r="859">
      <c r="A859" s="43"/>
    </row>
    <row r="860">
      <c r="A860" s="43"/>
    </row>
    <row r="861">
      <c r="A861" s="43"/>
    </row>
    <row r="862">
      <c r="A862" s="43"/>
    </row>
    <row r="863">
      <c r="A863" s="43"/>
    </row>
    <row r="864">
      <c r="A864" s="43"/>
    </row>
    <row r="865">
      <c r="A865" s="43"/>
    </row>
    <row r="866">
      <c r="A866" s="43"/>
    </row>
    <row r="867">
      <c r="A867" s="43"/>
    </row>
    <row r="868">
      <c r="A868" s="43"/>
    </row>
    <row r="869">
      <c r="A869" s="43"/>
    </row>
    <row r="870">
      <c r="A870" s="43"/>
    </row>
    <row r="871">
      <c r="A871" s="43"/>
    </row>
    <row r="872">
      <c r="A872" s="43"/>
    </row>
    <row r="873">
      <c r="A873" s="43"/>
    </row>
    <row r="874">
      <c r="A874" s="43"/>
    </row>
    <row r="875">
      <c r="A875" s="43"/>
    </row>
    <row r="876">
      <c r="A876" s="43"/>
    </row>
    <row r="877">
      <c r="A877" s="43"/>
    </row>
    <row r="878">
      <c r="A878" s="43"/>
    </row>
    <row r="879">
      <c r="A879" s="43"/>
    </row>
    <row r="880">
      <c r="A880" s="43"/>
    </row>
    <row r="881">
      <c r="A881" s="43"/>
    </row>
    <row r="882">
      <c r="A882" s="43"/>
    </row>
    <row r="883">
      <c r="A883" s="43"/>
    </row>
    <row r="884">
      <c r="A884" s="43"/>
    </row>
    <row r="885">
      <c r="A885" s="43"/>
    </row>
    <row r="886">
      <c r="A886" s="43"/>
    </row>
    <row r="887">
      <c r="A887" s="43"/>
    </row>
    <row r="888">
      <c r="A888" s="43"/>
    </row>
    <row r="889">
      <c r="A889" s="43"/>
    </row>
    <row r="890">
      <c r="A890" s="43"/>
    </row>
    <row r="891">
      <c r="A891" s="43"/>
    </row>
    <row r="892">
      <c r="A892" s="43"/>
    </row>
    <row r="893">
      <c r="A893" s="43"/>
    </row>
    <row r="894">
      <c r="A894" s="43"/>
    </row>
    <row r="895">
      <c r="A895" s="43"/>
    </row>
    <row r="896">
      <c r="A896" s="43"/>
    </row>
    <row r="897">
      <c r="A897" s="43"/>
    </row>
    <row r="898">
      <c r="A898" s="43"/>
    </row>
    <row r="899">
      <c r="A899" s="43"/>
    </row>
    <row r="900">
      <c r="A900" s="43"/>
    </row>
    <row r="901">
      <c r="A901" s="43"/>
    </row>
    <row r="902">
      <c r="A902" s="43"/>
    </row>
    <row r="903">
      <c r="A903" s="43"/>
    </row>
    <row r="904">
      <c r="A904" s="43"/>
    </row>
    <row r="905">
      <c r="A905" s="43"/>
    </row>
    <row r="906">
      <c r="A906" s="43"/>
    </row>
    <row r="907">
      <c r="A907" s="43"/>
    </row>
    <row r="908">
      <c r="A908" s="43"/>
    </row>
    <row r="909">
      <c r="A909" s="43"/>
    </row>
    <row r="910">
      <c r="A910" s="43"/>
    </row>
    <row r="911">
      <c r="A911" s="43"/>
    </row>
    <row r="912">
      <c r="A912" s="43"/>
    </row>
    <row r="913">
      <c r="A913" s="43"/>
    </row>
    <row r="914">
      <c r="A914" s="43"/>
    </row>
    <row r="915">
      <c r="A915" s="43"/>
    </row>
    <row r="916">
      <c r="A916" s="43"/>
    </row>
    <row r="917">
      <c r="A917" s="43"/>
    </row>
    <row r="918">
      <c r="A918" s="43"/>
    </row>
    <row r="919">
      <c r="A919" s="43"/>
    </row>
    <row r="920">
      <c r="A920" s="43"/>
    </row>
    <row r="921">
      <c r="A921" s="43"/>
    </row>
    <row r="922">
      <c r="A922" s="43"/>
    </row>
    <row r="923">
      <c r="A923" s="43"/>
    </row>
    <row r="924">
      <c r="A924" s="43"/>
    </row>
    <row r="925">
      <c r="A925" s="43"/>
    </row>
    <row r="926">
      <c r="A926" s="43"/>
    </row>
    <row r="927">
      <c r="A927" s="43"/>
    </row>
    <row r="928">
      <c r="A928" s="43"/>
    </row>
    <row r="929">
      <c r="A929" s="43"/>
    </row>
    <row r="930">
      <c r="A930" s="43"/>
    </row>
    <row r="931">
      <c r="A931" s="43"/>
    </row>
    <row r="932">
      <c r="A932" s="43"/>
    </row>
    <row r="933">
      <c r="A933" s="43"/>
    </row>
    <row r="934">
      <c r="A934" s="43"/>
    </row>
    <row r="935">
      <c r="A935" s="43"/>
    </row>
    <row r="936">
      <c r="A936" s="43"/>
    </row>
    <row r="937">
      <c r="A937" s="43"/>
    </row>
    <row r="938">
      <c r="A938" s="43"/>
    </row>
    <row r="939">
      <c r="A939" s="43"/>
    </row>
    <row r="940">
      <c r="A940" s="43"/>
    </row>
    <row r="941">
      <c r="A941" s="43"/>
    </row>
    <row r="942">
      <c r="A942" s="43"/>
    </row>
    <row r="943">
      <c r="A943" s="43"/>
    </row>
    <row r="944">
      <c r="A944" s="43"/>
    </row>
    <row r="945">
      <c r="A945" s="43"/>
    </row>
    <row r="946">
      <c r="A946" s="43"/>
    </row>
    <row r="947">
      <c r="A947" s="43"/>
    </row>
    <row r="948">
      <c r="A948" s="43"/>
    </row>
    <row r="949">
      <c r="A949" s="43"/>
    </row>
    <row r="950">
      <c r="A950" s="43"/>
    </row>
    <row r="951">
      <c r="A951" s="43"/>
    </row>
    <row r="952">
      <c r="A952" s="43"/>
    </row>
    <row r="953">
      <c r="A953" s="43"/>
    </row>
    <row r="954">
      <c r="A954" s="43"/>
    </row>
    <row r="955">
      <c r="A955" s="43"/>
    </row>
    <row r="956">
      <c r="A956" s="43"/>
    </row>
    <row r="957">
      <c r="A957" s="43"/>
    </row>
    <row r="958">
      <c r="A958" s="43"/>
    </row>
    <row r="959">
      <c r="A959" s="43"/>
    </row>
    <row r="960">
      <c r="A960" s="43"/>
    </row>
    <row r="961">
      <c r="A961" s="43"/>
    </row>
    <row r="962">
      <c r="A962" s="43"/>
    </row>
    <row r="963">
      <c r="A963" s="43"/>
    </row>
    <row r="964">
      <c r="A964" s="43"/>
    </row>
    <row r="965">
      <c r="A965" s="43"/>
    </row>
    <row r="966">
      <c r="A966" s="43"/>
    </row>
    <row r="967">
      <c r="A967" s="43"/>
    </row>
    <row r="968">
      <c r="A968" s="43"/>
    </row>
    <row r="969">
      <c r="A969" s="43"/>
    </row>
    <row r="970">
      <c r="A970" s="43"/>
    </row>
    <row r="971">
      <c r="A971" s="43"/>
    </row>
    <row r="972">
      <c r="A972" s="43"/>
    </row>
    <row r="973">
      <c r="A973" s="43"/>
    </row>
    <row r="974">
      <c r="A974" s="43"/>
    </row>
    <row r="975">
      <c r="A975" s="43"/>
    </row>
    <row r="976">
      <c r="A976" s="43"/>
    </row>
    <row r="977">
      <c r="A977" s="43"/>
    </row>
    <row r="978">
      <c r="A978" s="43"/>
    </row>
    <row r="979">
      <c r="A979" s="43"/>
    </row>
    <row r="980">
      <c r="A980" s="43"/>
    </row>
    <row r="981">
      <c r="A981" s="43"/>
    </row>
    <row r="982">
      <c r="A982" s="43"/>
    </row>
    <row r="983">
      <c r="A983" s="43"/>
    </row>
    <row r="984">
      <c r="A984" s="43"/>
    </row>
    <row r="985">
      <c r="A985" s="43"/>
    </row>
    <row r="986">
      <c r="A986" s="43"/>
    </row>
    <row r="987">
      <c r="A987" s="43"/>
    </row>
    <row r="988">
      <c r="A988" s="43"/>
    </row>
    <row r="989">
      <c r="A989" s="43"/>
    </row>
    <row r="990">
      <c r="A990" s="43"/>
    </row>
    <row r="991">
      <c r="A991" s="43"/>
    </row>
    <row r="992">
      <c r="A992" s="43"/>
    </row>
    <row r="993">
      <c r="A993" s="43"/>
    </row>
    <row r="994">
      <c r="A994" s="43"/>
    </row>
    <row r="995">
      <c r="A995" s="43"/>
    </row>
    <row r="996">
      <c r="A996" s="43"/>
    </row>
    <row r="997">
      <c r="A997" s="43"/>
    </row>
    <row r="998">
      <c r="A998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20.63"/>
  </cols>
  <sheetData>
    <row r="1">
      <c r="A1" s="52" t="s">
        <v>550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200">
      <c r="A200" s="24" t="s">
        <v>152</v>
      </c>
      <c r="B200" s="24" t="s">
        <v>555</v>
      </c>
    </row>
    <row r="201">
      <c r="A201" s="8" t="s">
        <v>206</v>
      </c>
      <c r="B201" s="24">
        <v>1310.4</v>
      </c>
    </row>
    <row r="202">
      <c r="A202" s="8" t="s">
        <v>187</v>
      </c>
      <c r="B202" s="24">
        <v>888.0</v>
      </c>
    </row>
    <row r="203">
      <c r="A203" s="8" t="s">
        <v>243</v>
      </c>
      <c r="B203" s="24">
        <v>2841.3</v>
      </c>
    </row>
    <row r="204">
      <c r="A204" s="8" t="s">
        <v>203</v>
      </c>
      <c r="B204" s="24">
        <v>739.54</v>
      </c>
    </row>
    <row r="205">
      <c r="A205" s="8" t="s">
        <v>183</v>
      </c>
      <c r="B205" s="24">
        <v>1468.8</v>
      </c>
    </row>
    <row r="206">
      <c r="A206" s="8" t="s">
        <v>255</v>
      </c>
      <c r="B206" s="24">
        <v>3516.31</v>
      </c>
    </row>
    <row r="207">
      <c r="A207" s="8" t="s">
        <v>194</v>
      </c>
      <c r="B207" s="24">
        <v>607.99</v>
      </c>
    </row>
    <row r="208">
      <c r="A208" s="8" t="s">
        <v>200</v>
      </c>
      <c r="B208" s="24">
        <v>492.05</v>
      </c>
    </row>
    <row r="209">
      <c r="A209" s="8" t="s">
        <v>214</v>
      </c>
      <c r="B209" s="24">
        <v>506.63</v>
      </c>
    </row>
    <row r="210">
      <c r="A210" s="8" t="s">
        <v>258</v>
      </c>
      <c r="B210" s="24">
        <v>3367.9700000000003</v>
      </c>
    </row>
    <row r="211">
      <c r="A211" s="8" t="s">
        <v>166</v>
      </c>
      <c r="B211" s="24">
        <v>2437.47</v>
      </c>
    </row>
    <row r="212">
      <c r="A212" s="8" t="s">
        <v>175</v>
      </c>
      <c r="B212" s="24">
        <v>2484.71</v>
      </c>
    </row>
    <row r="213">
      <c r="A213" s="8" t="s">
        <v>236</v>
      </c>
      <c r="B213" s="24">
        <v>4148.43</v>
      </c>
    </row>
    <row r="214">
      <c r="A214" s="8" t="s">
        <v>220</v>
      </c>
      <c r="B214" s="24">
        <v>412.32</v>
      </c>
    </row>
    <row r="215">
      <c r="A215" s="8" t="s">
        <v>209</v>
      </c>
      <c r="B215" s="24">
        <v>396.73</v>
      </c>
    </row>
    <row r="216">
      <c r="A216" s="8" t="s">
        <v>239</v>
      </c>
      <c r="B216" s="24">
        <v>655.53</v>
      </c>
    </row>
    <row r="217">
      <c r="A217" s="8" t="s">
        <v>230</v>
      </c>
      <c r="B217" s="24">
        <v>1056.4</v>
      </c>
    </row>
    <row r="218">
      <c r="A218" s="8" t="s">
        <v>225</v>
      </c>
      <c r="B218" s="24">
        <v>1181.52</v>
      </c>
    </row>
    <row r="219">
      <c r="A219" s="8" t="s">
        <v>233</v>
      </c>
      <c r="B219" s="24">
        <v>1697.93</v>
      </c>
    </row>
    <row r="220">
      <c r="A220" s="8" t="s">
        <v>246</v>
      </c>
      <c r="B220" s="24">
        <v>3186.9</v>
      </c>
    </row>
    <row r="221">
      <c r="A221" s="8" t="s">
        <v>250</v>
      </c>
      <c r="B221" s="24">
        <v>4101.3</v>
      </c>
    </row>
    <row r="222">
      <c r="A222" s="24" t="s">
        <v>554</v>
      </c>
      <c r="B222" s="24">
        <v>37498.229999999996</v>
      </c>
    </row>
  </sheetData>
  <drawing r:id="rId2"/>
</worksheet>
</file>